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andh\Downloads\"/>
    </mc:Choice>
  </mc:AlternateContent>
  <xr:revisionPtr revIDLastSave="0" documentId="13_ncr:1_{2F33EEC2-16BA-4F0E-9078-F8C7564C5C8B}" xr6:coauthVersionLast="47" xr6:coauthVersionMax="47" xr10:uidLastSave="{00000000-0000-0000-0000-000000000000}"/>
  <bookViews>
    <workbookView xWindow="-108" yWindow="-108" windowWidth="23256" windowHeight="13176" firstSheet="3" activeTab="6" xr2:uid="{FC9D1B49-3452-4819-BD69-1C6F7B7A7BB1}"/>
  </bookViews>
  <sheets>
    <sheet name="Total Cost By Product" sheetId="6" r:id="rId1"/>
    <sheet name="Total Cost By supplier Pivot " sheetId="7" r:id="rId2"/>
    <sheet name="Total Cost By Delivery Date Pvt" sheetId="8" r:id="rId3"/>
    <sheet name="Total Cost By Warehouse Pivot" sheetId="11" r:id="rId4"/>
    <sheet name="Data" sheetId="1" r:id="rId5"/>
    <sheet name="Pivot Table" sheetId="3" r:id="rId6"/>
    <sheet name="Dashboard" sheetId="4" r:id="rId7"/>
  </sheets>
  <definedNames>
    <definedName name="Slicer_Delivery_Date">#N/A</definedName>
    <definedName name="Slicer_Delivery_Date1">#N/A</definedName>
    <definedName name="Slicer_Product">#N/A</definedName>
    <definedName name="Slicer_Supplier">#N/A</definedName>
    <definedName name="Slicer_Supplier1">#N/A</definedName>
    <definedName name="Slicer_Total_Cost">#N/A</definedName>
    <definedName name="Slicer_Total_Cost1">#N/A</definedName>
    <definedName name="Slicer_Total_Cost2">#N/A</definedName>
    <definedName name="Slicer_Total_Cost3">#N/A</definedName>
    <definedName name="Slicer_Warehouse_Location">#N/A</definedName>
    <definedName name="Slicer_Warehouse_Location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<sst xmlns="http://schemas.openxmlformats.org/spreadsheetml/2006/main" count="123" uniqueCount="26">
  <si>
    <t>Product</t>
  </si>
  <si>
    <t>Supplier</t>
  </si>
  <si>
    <t>Warehouse Location</t>
  </si>
  <si>
    <t>Quantity</t>
  </si>
  <si>
    <t>Unit Price</t>
  </si>
  <si>
    <t>Total Cost</t>
  </si>
  <si>
    <t>Delivery Date</t>
  </si>
  <si>
    <t>Widget A</t>
  </si>
  <si>
    <t>Alpha Corp</t>
  </si>
  <si>
    <t>Warehouse 3</t>
  </si>
  <si>
    <t>Epsilon Co</t>
  </si>
  <si>
    <t>Warehouse 1</t>
  </si>
  <si>
    <t>Beta Ltd</t>
  </si>
  <si>
    <t>Widget B</t>
  </si>
  <si>
    <t>Warehouse 2</t>
  </si>
  <si>
    <t>Gamma Inc</t>
  </si>
  <si>
    <t>Gadget X</t>
  </si>
  <si>
    <t>Delta LLC</t>
  </si>
  <si>
    <t>Tool Z</t>
  </si>
  <si>
    <t>Gadget Y</t>
  </si>
  <si>
    <t>Column Labels</t>
  </si>
  <si>
    <t>Grand Total</t>
  </si>
  <si>
    <t>Row Labels</t>
  </si>
  <si>
    <t>Total Sum of Quantity</t>
  </si>
  <si>
    <t>Total Sum of Total Cost</t>
  </si>
  <si>
    <t>Sum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</si>
</sst>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2" borderId="0" xfId="0" applyFont="1" applyFill="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Product!PivotTable1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Cost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Cost By Product'!$B$3</c:f>
              <c:strCache>
                <c:ptCount val="1"/>
                <c:pt idx="0">
                  <c:v>Total</c:v>
                </c:pt>
              </c:strCache>
            </c:strRef>
          </c:tx>
          <c:spPr>
            <a:solidFill>
              <a:schemeClr val="accent1"/>
            </a:solidFill>
            <a:ln>
              <a:noFill/>
            </a:ln>
            <a:effectLst/>
          </c:spPr>
          <c:invertIfNegative val="0"/>
          <c:cat>
            <c:strRef>
              <c:f>'Total Cost By Product'!$A$4:$A$5</c:f>
              <c:strCache>
                <c:ptCount val="1"/>
                <c:pt idx="0">
                  <c:v>Gadget X</c:v>
                </c:pt>
              </c:strCache>
            </c:strRef>
          </c:cat>
          <c:val>
            <c:numRef>
              <c:f>'Total Cost By Product'!$B$4:$B$5</c:f>
              <c:numCache>
                <c:formatCode>General</c:formatCode>
                <c:ptCount val="1"/>
                <c:pt idx="0">
                  <c:v>3157.75</c:v>
                </c:pt>
              </c:numCache>
            </c:numRef>
          </c:val>
          <c:extLst>
            <c:ext xmlns:c16="http://schemas.microsoft.com/office/drawing/2014/chart" uri="{C3380CC4-5D6E-409C-BE32-E72D297353CC}">
              <c16:uniqueId val="{00000003-2CA3-4A13-8473-A8DE93096E0E}"/>
            </c:ext>
          </c:extLst>
        </c:ser>
        <c:dLbls>
          <c:showLegendKey val="0"/>
          <c:showVal val="0"/>
          <c:showCatName val="0"/>
          <c:showSerName val="0"/>
          <c:showPercent val="0"/>
          <c:showBubbleSize val="0"/>
        </c:dLbls>
        <c:gapWidth val="219"/>
        <c:overlap val="-27"/>
        <c:axId val="276560256"/>
        <c:axId val="276546944"/>
      </c:barChart>
      <c:catAx>
        <c:axId val="27656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546944"/>
        <c:crosses val="autoZero"/>
        <c:auto val="1"/>
        <c:lblAlgn val="ctr"/>
        <c:lblOffset val="100"/>
        <c:noMultiLvlLbl val="0"/>
      </c:catAx>
      <c:valAx>
        <c:axId val="27654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5602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supplier Pivot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Cost By Supplier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Cost By supplier Pivot '!$B$3:$B$4</c:f>
              <c:strCache>
                <c:ptCount val="1"/>
                <c:pt idx="0">
                  <c:v>Delta LLC</c:v>
                </c:pt>
              </c:strCache>
            </c:strRef>
          </c:tx>
          <c:spPr>
            <a:solidFill>
              <a:schemeClr val="accent1"/>
            </a:solidFill>
            <a:ln>
              <a:noFill/>
            </a:ln>
            <a:effectLst/>
          </c:spPr>
          <c:invertIfNegative val="0"/>
          <c:cat>
            <c:strRef>
              <c:f>'Total Cost By supplier Pivot '!$A$5</c:f>
              <c:strCache>
                <c:ptCount val="1"/>
                <c:pt idx="0">
                  <c:v>Total</c:v>
                </c:pt>
              </c:strCache>
            </c:strRef>
          </c:cat>
          <c:val>
            <c:numRef>
              <c:f>'Total Cost By supplier Pivot '!$B$5</c:f>
              <c:numCache>
                <c:formatCode>General</c:formatCode>
                <c:ptCount val="1"/>
                <c:pt idx="0">
                  <c:v>689.92</c:v>
                </c:pt>
              </c:numCache>
            </c:numRef>
          </c:val>
          <c:extLst>
            <c:ext xmlns:c16="http://schemas.microsoft.com/office/drawing/2014/chart" uri="{C3380CC4-5D6E-409C-BE32-E72D297353CC}">
              <c16:uniqueId val="{00000000-8F65-48C2-859A-36B3AD593884}"/>
            </c:ext>
          </c:extLst>
        </c:ser>
        <c:ser>
          <c:idx val="1"/>
          <c:order val="1"/>
          <c:tx>
            <c:strRef>
              <c:f>'Total Cost By supplier Pivot '!$C$3:$C$4</c:f>
              <c:strCache>
                <c:ptCount val="1"/>
                <c:pt idx="0">
                  <c:v>Epsilon Co</c:v>
                </c:pt>
              </c:strCache>
            </c:strRef>
          </c:tx>
          <c:spPr>
            <a:solidFill>
              <a:schemeClr val="accent2"/>
            </a:solidFill>
            <a:ln>
              <a:noFill/>
            </a:ln>
            <a:effectLst/>
          </c:spPr>
          <c:invertIfNegative val="0"/>
          <c:cat>
            <c:strRef>
              <c:f>'Total Cost By supplier Pivot '!$A$5</c:f>
              <c:strCache>
                <c:ptCount val="1"/>
                <c:pt idx="0">
                  <c:v>Total</c:v>
                </c:pt>
              </c:strCache>
            </c:strRef>
          </c:cat>
          <c:val>
            <c:numRef>
              <c:f>'Total Cost By supplier Pivot '!$C$5</c:f>
              <c:numCache>
                <c:formatCode>General</c:formatCode>
                <c:ptCount val="1"/>
                <c:pt idx="0">
                  <c:v>2467.83</c:v>
                </c:pt>
              </c:numCache>
            </c:numRef>
          </c:val>
          <c:extLst>
            <c:ext xmlns:c16="http://schemas.microsoft.com/office/drawing/2014/chart" uri="{C3380CC4-5D6E-409C-BE32-E72D297353CC}">
              <c16:uniqueId val="{00000001-8F65-48C2-859A-36B3AD593884}"/>
            </c:ext>
          </c:extLst>
        </c:ser>
        <c:dLbls>
          <c:showLegendKey val="0"/>
          <c:showVal val="0"/>
          <c:showCatName val="0"/>
          <c:showSerName val="0"/>
          <c:showPercent val="0"/>
          <c:showBubbleSize val="0"/>
        </c:dLbls>
        <c:gapWidth val="219"/>
        <c:overlap val="-27"/>
        <c:axId val="136921696"/>
        <c:axId val="136926272"/>
      </c:barChart>
      <c:catAx>
        <c:axId val="1369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6272"/>
        <c:crosses val="autoZero"/>
        <c:auto val="1"/>
        <c:lblAlgn val="ctr"/>
        <c:lblOffset val="100"/>
        <c:noMultiLvlLbl val="0"/>
      </c:catAx>
      <c:valAx>
        <c:axId val="13692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Delivery Date Pvt!PivotTable3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Cost By Delivery  Date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Cost By Delivery Date Pvt'!$B$3</c:f>
              <c:strCache>
                <c:ptCount val="1"/>
                <c:pt idx="0">
                  <c:v>Total</c:v>
                </c:pt>
              </c:strCache>
            </c:strRef>
          </c:tx>
          <c:spPr>
            <a:solidFill>
              <a:schemeClr val="accent1"/>
            </a:solidFill>
            <a:ln>
              <a:noFill/>
            </a:ln>
            <a:effectLst/>
          </c:spPr>
          <c:invertIfNegative val="0"/>
          <c:cat>
            <c:strRef>
              <c:f>'Total Cost By Delivery Date Pvt'!$A$4:$A$7</c:f>
              <c:strCache>
                <c:ptCount val="3"/>
                <c:pt idx="0">
                  <c:v>12-06-2025</c:v>
                </c:pt>
                <c:pt idx="1">
                  <c:v>18-06-2025</c:v>
                </c:pt>
                <c:pt idx="2">
                  <c:v>25-06-2025</c:v>
                </c:pt>
              </c:strCache>
            </c:strRef>
          </c:cat>
          <c:val>
            <c:numRef>
              <c:f>'Total Cost By Delivery Date Pvt'!$B$4:$B$7</c:f>
              <c:numCache>
                <c:formatCode>General</c:formatCode>
                <c:ptCount val="3"/>
                <c:pt idx="0">
                  <c:v>689.92</c:v>
                </c:pt>
                <c:pt idx="1">
                  <c:v>567.6</c:v>
                </c:pt>
                <c:pt idx="2">
                  <c:v>1900.23</c:v>
                </c:pt>
              </c:numCache>
            </c:numRef>
          </c:val>
          <c:extLst>
            <c:ext xmlns:c16="http://schemas.microsoft.com/office/drawing/2014/chart" uri="{C3380CC4-5D6E-409C-BE32-E72D297353CC}">
              <c16:uniqueId val="{00000000-DDCA-47E9-85B6-AA57BC3A9BEF}"/>
            </c:ext>
          </c:extLst>
        </c:ser>
        <c:dLbls>
          <c:showLegendKey val="0"/>
          <c:showVal val="0"/>
          <c:showCatName val="0"/>
          <c:showSerName val="0"/>
          <c:showPercent val="0"/>
          <c:showBubbleSize val="0"/>
        </c:dLbls>
        <c:gapWidth val="219"/>
        <c:overlap val="-27"/>
        <c:axId val="343156352"/>
        <c:axId val="343164672"/>
      </c:barChart>
      <c:catAx>
        <c:axId val="34315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64672"/>
        <c:crosses val="autoZero"/>
        <c:auto val="1"/>
        <c:lblAlgn val="ctr"/>
        <c:lblOffset val="100"/>
        <c:noMultiLvlLbl val="0"/>
      </c:catAx>
      <c:valAx>
        <c:axId val="34316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Warehouse 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Cost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'Total Cost By Warehouse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35-4082-8BF1-6BA804EBA4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35-4082-8BF1-6BA804EBA4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35-4082-8BF1-6BA804EBA4C3}"/>
              </c:ext>
            </c:extLst>
          </c:dPt>
          <c:cat>
            <c:strRef>
              <c:f>'Total Cost By Warehouse Pivot'!$A$4:$A$7</c:f>
              <c:strCache>
                <c:ptCount val="3"/>
                <c:pt idx="0">
                  <c:v>Warehouse 1</c:v>
                </c:pt>
                <c:pt idx="1">
                  <c:v>Warehouse 2</c:v>
                </c:pt>
                <c:pt idx="2">
                  <c:v>Warehouse 3</c:v>
                </c:pt>
              </c:strCache>
            </c:strRef>
          </c:cat>
          <c:val>
            <c:numRef>
              <c:f>'Total Cost By Warehouse Pivot'!$B$4:$B$7</c:f>
              <c:numCache>
                <c:formatCode>General</c:formatCode>
                <c:ptCount val="3"/>
                <c:pt idx="0">
                  <c:v>1900.23</c:v>
                </c:pt>
                <c:pt idx="1">
                  <c:v>567.6</c:v>
                </c:pt>
                <c:pt idx="2">
                  <c:v>689.92</c:v>
                </c:pt>
              </c:numCache>
            </c:numRef>
          </c:val>
          <c:extLst>
            <c:ext xmlns:c16="http://schemas.microsoft.com/office/drawing/2014/chart" uri="{C3380CC4-5D6E-409C-BE32-E72D297353CC}">
              <c16:uniqueId val="{00000000-AF06-403F-B0F5-592B54DF79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Product!PivotTable1</c:name>
    <c:fmtId val="1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Total Cost By Product</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Cost By Product'!$B$3</c:f>
              <c:strCache>
                <c:ptCount val="1"/>
                <c:pt idx="0">
                  <c:v>Total</c:v>
                </c:pt>
              </c:strCache>
            </c:strRef>
          </c:tx>
          <c:spPr>
            <a:solidFill>
              <a:schemeClr val="accent1"/>
            </a:solidFill>
            <a:ln>
              <a:noFill/>
            </a:ln>
            <a:effectLst/>
          </c:spPr>
          <c:invertIfNegative val="0"/>
          <c:cat>
            <c:strRef>
              <c:f>'Total Cost By Product'!$A$4:$A$5</c:f>
              <c:strCache>
                <c:ptCount val="1"/>
                <c:pt idx="0">
                  <c:v>Gadget X</c:v>
                </c:pt>
              </c:strCache>
            </c:strRef>
          </c:cat>
          <c:val>
            <c:numRef>
              <c:f>'Total Cost By Product'!$B$4:$B$5</c:f>
              <c:numCache>
                <c:formatCode>General</c:formatCode>
                <c:ptCount val="1"/>
                <c:pt idx="0">
                  <c:v>3157.75</c:v>
                </c:pt>
              </c:numCache>
            </c:numRef>
          </c:val>
          <c:extLst>
            <c:ext xmlns:c16="http://schemas.microsoft.com/office/drawing/2014/chart" uri="{C3380CC4-5D6E-409C-BE32-E72D297353CC}">
              <c16:uniqueId val="{00000003-7AB3-48D4-9FC0-7B8C6305B25A}"/>
            </c:ext>
          </c:extLst>
        </c:ser>
        <c:dLbls>
          <c:showLegendKey val="0"/>
          <c:showVal val="0"/>
          <c:showCatName val="0"/>
          <c:showSerName val="0"/>
          <c:showPercent val="0"/>
          <c:showBubbleSize val="0"/>
        </c:dLbls>
        <c:gapWidth val="219"/>
        <c:overlap val="-27"/>
        <c:axId val="276560256"/>
        <c:axId val="276546944"/>
      </c:barChart>
      <c:catAx>
        <c:axId val="27656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546944"/>
        <c:crosses val="autoZero"/>
        <c:auto val="1"/>
        <c:lblAlgn val="ctr"/>
        <c:lblOffset val="100"/>
        <c:noMultiLvlLbl val="0"/>
      </c:catAx>
      <c:valAx>
        <c:axId val="27654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56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supplier Pivot !PivotTable2</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Total</a:t>
            </a:r>
            <a:r>
              <a:rPr lang="en-IN" sz="2000" b="1" baseline="0"/>
              <a:t> Cost By Supplier</a:t>
            </a:r>
            <a:endParaRPr lang="en-IN"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Cost By supplier Pivot '!$B$3:$B$4</c:f>
              <c:strCache>
                <c:ptCount val="1"/>
                <c:pt idx="0">
                  <c:v>Delta LLC</c:v>
                </c:pt>
              </c:strCache>
            </c:strRef>
          </c:tx>
          <c:spPr>
            <a:solidFill>
              <a:schemeClr val="accent1"/>
            </a:solidFill>
            <a:ln>
              <a:noFill/>
            </a:ln>
            <a:effectLst/>
          </c:spPr>
          <c:invertIfNegative val="0"/>
          <c:cat>
            <c:strRef>
              <c:f>'Total Cost By supplier Pivot '!$A$5</c:f>
              <c:strCache>
                <c:ptCount val="1"/>
                <c:pt idx="0">
                  <c:v>Total</c:v>
                </c:pt>
              </c:strCache>
            </c:strRef>
          </c:cat>
          <c:val>
            <c:numRef>
              <c:f>'Total Cost By supplier Pivot '!$B$5</c:f>
              <c:numCache>
                <c:formatCode>General</c:formatCode>
                <c:ptCount val="1"/>
                <c:pt idx="0">
                  <c:v>689.92</c:v>
                </c:pt>
              </c:numCache>
            </c:numRef>
          </c:val>
          <c:extLst>
            <c:ext xmlns:c16="http://schemas.microsoft.com/office/drawing/2014/chart" uri="{C3380CC4-5D6E-409C-BE32-E72D297353CC}">
              <c16:uniqueId val="{00000000-C7FE-4367-B4DA-CA85FA8109AB}"/>
            </c:ext>
          </c:extLst>
        </c:ser>
        <c:ser>
          <c:idx val="1"/>
          <c:order val="1"/>
          <c:tx>
            <c:strRef>
              <c:f>'Total Cost By supplier Pivot '!$C$3:$C$4</c:f>
              <c:strCache>
                <c:ptCount val="1"/>
                <c:pt idx="0">
                  <c:v>Epsilon Co</c:v>
                </c:pt>
              </c:strCache>
            </c:strRef>
          </c:tx>
          <c:spPr>
            <a:solidFill>
              <a:schemeClr val="accent2"/>
            </a:solidFill>
            <a:ln>
              <a:noFill/>
            </a:ln>
            <a:effectLst/>
          </c:spPr>
          <c:invertIfNegative val="0"/>
          <c:cat>
            <c:strRef>
              <c:f>'Total Cost By supplier Pivot '!$A$5</c:f>
              <c:strCache>
                <c:ptCount val="1"/>
                <c:pt idx="0">
                  <c:v>Total</c:v>
                </c:pt>
              </c:strCache>
            </c:strRef>
          </c:cat>
          <c:val>
            <c:numRef>
              <c:f>'Total Cost By supplier Pivot '!$C$5</c:f>
              <c:numCache>
                <c:formatCode>General</c:formatCode>
                <c:ptCount val="1"/>
                <c:pt idx="0">
                  <c:v>2467.83</c:v>
                </c:pt>
              </c:numCache>
            </c:numRef>
          </c:val>
          <c:extLst>
            <c:ext xmlns:c16="http://schemas.microsoft.com/office/drawing/2014/chart" uri="{C3380CC4-5D6E-409C-BE32-E72D297353CC}">
              <c16:uniqueId val="{00000001-C7FE-4367-B4DA-CA85FA8109AB}"/>
            </c:ext>
          </c:extLst>
        </c:ser>
        <c:dLbls>
          <c:showLegendKey val="0"/>
          <c:showVal val="0"/>
          <c:showCatName val="0"/>
          <c:showSerName val="0"/>
          <c:showPercent val="0"/>
          <c:showBubbleSize val="0"/>
        </c:dLbls>
        <c:gapWidth val="219"/>
        <c:overlap val="-27"/>
        <c:axId val="136921696"/>
        <c:axId val="136926272"/>
      </c:barChart>
      <c:catAx>
        <c:axId val="1369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6272"/>
        <c:crosses val="autoZero"/>
        <c:auto val="1"/>
        <c:lblAlgn val="ctr"/>
        <c:lblOffset val="100"/>
        <c:noMultiLvlLbl val="0"/>
      </c:catAx>
      <c:valAx>
        <c:axId val="13692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Delivery Date Pvt!PivotTable3</c:name>
    <c:fmtId val="2"/>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Total</a:t>
            </a:r>
            <a:r>
              <a:rPr lang="en-IN" sz="2000" b="1" baseline="0"/>
              <a:t> Cost By Delivery  Date</a:t>
            </a:r>
            <a:endParaRPr lang="en-IN"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Cost By Delivery Date Pvt'!$B$3</c:f>
              <c:strCache>
                <c:ptCount val="1"/>
                <c:pt idx="0">
                  <c:v>Total</c:v>
                </c:pt>
              </c:strCache>
            </c:strRef>
          </c:tx>
          <c:spPr>
            <a:solidFill>
              <a:schemeClr val="accent1"/>
            </a:solidFill>
            <a:ln>
              <a:noFill/>
            </a:ln>
            <a:effectLst/>
          </c:spPr>
          <c:invertIfNegative val="0"/>
          <c:cat>
            <c:strRef>
              <c:f>'Total Cost By Delivery Date Pvt'!$A$4:$A$7</c:f>
              <c:strCache>
                <c:ptCount val="3"/>
                <c:pt idx="0">
                  <c:v>12-06-2025</c:v>
                </c:pt>
                <c:pt idx="1">
                  <c:v>18-06-2025</c:v>
                </c:pt>
                <c:pt idx="2">
                  <c:v>25-06-2025</c:v>
                </c:pt>
              </c:strCache>
            </c:strRef>
          </c:cat>
          <c:val>
            <c:numRef>
              <c:f>'Total Cost By Delivery Date Pvt'!$B$4:$B$7</c:f>
              <c:numCache>
                <c:formatCode>General</c:formatCode>
                <c:ptCount val="3"/>
                <c:pt idx="0">
                  <c:v>689.92</c:v>
                </c:pt>
                <c:pt idx="1">
                  <c:v>567.6</c:v>
                </c:pt>
                <c:pt idx="2">
                  <c:v>1900.23</c:v>
                </c:pt>
              </c:numCache>
            </c:numRef>
          </c:val>
          <c:extLst>
            <c:ext xmlns:c16="http://schemas.microsoft.com/office/drawing/2014/chart" uri="{C3380CC4-5D6E-409C-BE32-E72D297353CC}">
              <c16:uniqueId val="{00000000-AC27-4395-8E7A-244A72B30968}"/>
            </c:ext>
          </c:extLst>
        </c:ser>
        <c:dLbls>
          <c:showLegendKey val="0"/>
          <c:showVal val="0"/>
          <c:showCatName val="0"/>
          <c:showSerName val="0"/>
          <c:showPercent val="0"/>
          <c:showBubbleSize val="0"/>
        </c:dLbls>
        <c:gapWidth val="219"/>
        <c:overlap val="-27"/>
        <c:axId val="343156352"/>
        <c:axId val="343164672"/>
      </c:barChart>
      <c:catAx>
        <c:axId val="34315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64672"/>
        <c:crosses val="autoZero"/>
        <c:auto val="1"/>
        <c:lblAlgn val="ctr"/>
        <c:lblOffset val="100"/>
        <c:noMultiLvlLbl val="0"/>
      </c:catAx>
      <c:valAx>
        <c:axId val="34316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15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 Dashboard assignment edited1.xlsx]Total Cost By Warehouse Pivot!PivotTable5</c:name>
    <c:fmtId val="5"/>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Total Cost By Warehouse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'Total Cost By Warehouse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EC-4418-A5C4-2FFDFE73C1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EC-4418-A5C4-2FFDFE73C1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EC-4418-A5C4-2FFDFE73C16B}"/>
              </c:ext>
            </c:extLst>
          </c:dPt>
          <c:cat>
            <c:strRef>
              <c:f>'Total Cost By Warehouse Pivot'!$A$4:$A$7</c:f>
              <c:strCache>
                <c:ptCount val="3"/>
                <c:pt idx="0">
                  <c:v>Warehouse 1</c:v>
                </c:pt>
                <c:pt idx="1">
                  <c:v>Warehouse 2</c:v>
                </c:pt>
                <c:pt idx="2">
                  <c:v>Warehouse 3</c:v>
                </c:pt>
              </c:strCache>
            </c:strRef>
          </c:cat>
          <c:val>
            <c:numRef>
              <c:f>'Total Cost By Warehouse Pivot'!$B$4:$B$7</c:f>
              <c:numCache>
                <c:formatCode>General</c:formatCode>
                <c:ptCount val="3"/>
                <c:pt idx="0">
                  <c:v>1900.23</c:v>
                </c:pt>
                <c:pt idx="1">
                  <c:v>567.6</c:v>
                </c:pt>
                <c:pt idx="2">
                  <c:v>689.92</c:v>
                </c:pt>
              </c:numCache>
            </c:numRef>
          </c:val>
          <c:extLst>
            <c:ext xmlns:c16="http://schemas.microsoft.com/office/drawing/2014/chart" uri="{C3380CC4-5D6E-409C-BE32-E72D297353CC}">
              <c16:uniqueId val="{00000006-D3EC-4418-A5C4-2FFDFE73C1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228600</xdr:colOff>
      <xdr:row>4</xdr:row>
      <xdr:rowOff>4762</xdr:rowOff>
    </xdr:from>
    <xdr:to>
      <xdr:col>17</xdr:col>
      <xdr:colOff>533400</xdr:colOff>
      <xdr:row>18</xdr:row>
      <xdr:rowOff>80962</xdr:rowOff>
    </xdr:to>
    <xdr:graphicFrame macro="">
      <xdr:nvGraphicFramePr>
        <xdr:cNvPr id="3" name="Chart 2">
          <a:extLst>
            <a:ext uri="{FF2B5EF4-FFF2-40B4-BE49-F238E27FC236}">
              <a16:creationId xmlns:a16="http://schemas.microsoft.com/office/drawing/2014/main" id="{F40E99FE-2F49-4C9C-AE4B-7C9243BED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228600</xdr:colOff>
      <xdr:row>3</xdr:row>
      <xdr:rowOff>114300</xdr:rowOff>
    </xdr:from>
    <xdr:to>
      <xdr:col>10</xdr:col>
      <xdr:colOff>228600</xdr:colOff>
      <xdr:row>16</xdr:row>
      <xdr:rowOff>161925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124C3A48-0D71-4DA8-B517-10F51251A18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48275" y="685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19050</xdr:colOff>
      <xdr:row>3</xdr:row>
      <xdr:rowOff>0</xdr:rowOff>
    </xdr:from>
    <xdr:to>
      <xdr:col>7</xdr:col>
      <xdr:colOff>19050</xdr:colOff>
      <xdr:row>16</xdr:row>
      <xdr:rowOff>47625</xdr:rowOff>
    </xdr:to>
    <mc:AlternateContent xmlns:mc="http://schemas.openxmlformats.org/markup-compatibility/2006" xmlns:a14="http://schemas.microsoft.com/office/drawing/2010/main">
      <mc:Choice Requires="a14">
        <xdr:graphicFrame macro="">
          <xdr:nvGraphicFramePr>
            <xdr:cNvPr id="4" name="Total Cost 3">
              <a:extLst>
                <a:ext uri="{FF2B5EF4-FFF2-40B4-BE49-F238E27FC236}">
                  <a16:creationId xmlns:a16="http://schemas.microsoft.com/office/drawing/2014/main" id="{60A2CAE9-68FC-4F2E-8E34-F210880B4C7D}"/>
                </a:ext>
              </a:extLst>
            </xdr:cNvPr>
            <xdr:cNvGraphicFramePr/>
          </xdr:nvGraphicFramePr>
          <xdr:xfrm>
            <a:off x="0" y="0"/>
            <a:ext cx="0" cy="0"/>
          </xdr:xfrm>
          <a:graphic>
            <a:graphicData uri="http://schemas.microsoft.com/office/drawing/2010/slicer">
              <sle:slicer xmlns:sle="http://schemas.microsoft.com/office/drawing/2010/slicer" name="Total Cost 3"/>
            </a:graphicData>
          </a:graphic>
        </xdr:graphicFrame>
      </mc:Choice>
      <mc:Fallback xmlns="">
        <xdr:sp macro="" textlink="">
          <xdr:nvSpPr>
            <xdr:cNvPr id="0" name=""/>
            <xdr:cNvSpPr>
              <a:spLocks noTextEdit="1"/>
            </xdr:cNvSpPr>
          </xdr:nvSpPr>
          <xdr:spPr>
            <a:xfrm>
              <a:off x="3209925" y="571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133351</xdr:colOff>
      <xdr:row>5</xdr:row>
      <xdr:rowOff>76199</xdr:rowOff>
    </xdr:from>
    <xdr:to>
      <xdr:col>5</xdr:col>
      <xdr:colOff>190500</xdr:colOff>
      <xdr:row>17</xdr:row>
      <xdr:rowOff>152400</xdr:rowOff>
    </xdr:to>
    <xdr:graphicFrame macro="">
      <xdr:nvGraphicFramePr>
        <xdr:cNvPr id="2" name="Chart 1">
          <a:extLst>
            <a:ext uri="{FF2B5EF4-FFF2-40B4-BE49-F238E27FC236}">
              <a16:creationId xmlns:a16="http://schemas.microsoft.com/office/drawing/2014/main" id="{D5483E01-CBCE-4747-93FA-F96D92E07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609600</xdr:colOff>
      <xdr:row>4</xdr:row>
      <xdr:rowOff>85725</xdr:rowOff>
    </xdr:from>
    <xdr:to>
      <xdr:col>9</xdr:col>
      <xdr:colOff>247650</xdr:colOff>
      <xdr:row>17</xdr:row>
      <xdr:rowOff>133350</xdr:rowOff>
    </xdr:to>
    <mc:AlternateContent xmlns:mc="http://schemas.openxmlformats.org/markup-compatibility/2006" xmlns:a14="http://schemas.microsoft.com/office/drawing/2010/main">
      <mc:Choice Requires="a14">
        <xdr:graphicFrame macro="">
          <xdr:nvGraphicFramePr>
            <xdr:cNvPr id="3" name="Supplier">
              <a:extLst>
                <a:ext uri="{FF2B5EF4-FFF2-40B4-BE49-F238E27FC236}">
                  <a16:creationId xmlns:a16="http://schemas.microsoft.com/office/drawing/2014/main" id="{A4D189F6-345A-4460-BCC3-98C365F0A59F}"/>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6086475" y="847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161925</xdr:colOff>
      <xdr:row>5</xdr:row>
      <xdr:rowOff>95250</xdr:rowOff>
    </xdr:from>
    <xdr:to>
      <xdr:col>11</xdr:col>
      <xdr:colOff>628650</xdr:colOff>
      <xdr:row>18</xdr:row>
      <xdr:rowOff>142875</xdr:rowOff>
    </xdr:to>
    <mc:AlternateContent xmlns:mc="http://schemas.openxmlformats.org/markup-compatibility/2006" xmlns:a14="http://schemas.microsoft.com/office/drawing/2010/main">
      <mc:Choice Requires="a14">
        <xdr:graphicFrame macro="">
          <xdr:nvGraphicFramePr>
            <xdr:cNvPr id="4" name="Total Cost 2">
              <a:extLst>
                <a:ext uri="{FF2B5EF4-FFF2-40B4-BE49-F238E27FC236}">
                  <a16:creationId xmlns:a16="http://schemas.microsoft.com/office/drawing/2014/main" id="{EC32D548-DBC8-498A-9C18-5FDB92E8E20F}"/>
                </a:ext>
              </a:extLst>
            </xdr:cNvPr>
            <xdr:cNvGraphicFramePr/>
          </xdr:nvGraphicFramePr>
          <xdr:xfrm>
            <a:off x="0" y="0"/>
            <a:ext cx="0" cy="0"/>
          </xdr:xfrm>
          <a:graphic>
            <a:graphicData uri="http://schemas.microsoft.com/office/drawing/2010/slicer">
              <sle:slicer xmlns:sle="http://schemas.microsoft.com/office/drawing/2010/slicer" name="Total Cost 2"/>
            </a:graphicData>
          </a:graphic>
        </xdr:graphicFrame>
      </mc:Choice>
      <mc:Fallback xmlns="">
        <xdr:sp macro="" textlink="">
          <xdr:nvSpPr>
            <xdr:cNvPr id="0" name=""/>
            <xdr:cNvSpPr>
              <a:spLocks noTextEdit="1"/>
            </xdr:cNvSpPr>
          </xdr:nvSpPr>
          <xdr:spPr>
            <a:xfrm>
              <a:off x="8924925" y="1047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66675</xdr:colOff>
      <xdr:row>3</xdr:row>
      <xdr:rowOff>42862</xdr:rowOff>
    </xdr:from>
    <xdr:to>
      <xdr:col>18</xdr:col>
      <xdr:colOff>371475</xdr:colOff>
      <xdr:row>17</xdr:row>
      <xdr:rowOff>119062</xdr:rowOff>
    </xdr:to>
    <xdr:graphicFrame macro="">
      <xdr:nvGraphicFramePr>
        <xdr:cNvPr id="2" name="Chart 1">
          <a:extLst>
            <a:ext uri="{FF2B5EF4-FFF2-40B4-BE49-F238E27FC236}">
              <a16:creationId xmlns:a16="http://schemas.microsoft.com/office/drawing/2014/main" id="{82367030-54F2-4F33-B822-92E08DEAA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542925</xdr:colOff>
      <xdr:row>4</xdr:row>
      <xdr:rowOff>104775</xdr:rowOff>
    </xdr:from>
    <xdr:to>
      <xdr:col>9</xdr:col>
      <xdr:colOff>542925</xdr:colOff>
      <xdr:row>17</xdr:row>
      <xdr:rowOff>152400</xdr:rowOff>
    </xdr:to>
    <mc:AlternateContent xmlns:mc="http://schemas.openxmlformats.org/markup-compatibility/2006" xmlns:a14="http://schemas.microsoft.com/office/drawing/2010/main">
      <mc:Choice Requires="a14">
        <xdr:graphicFrame macro="">
          <xdr:nvGraphicFramePr>
            <xdr:cNvPr id="3" name="Total Cost 1">
              <a:extLst>
                <a:ext uri="{FF2B5EF4-FFF2-40B4-BE49-F238E27FC236}">
                  <a16:creationId xmlns:a16="http://schemas.microsoft.com/office/drawing/2014/main" id="{AEA63E65-F772-4F3C-B2CB-59B03EFB57DE}"/>
                </a:ext>
              </a:extLst>
            </xdr:cNvPr>
            <xdr:cNvGraphicFramePr/>
          </xdr:nvGraphicFramePr>
          <xdr:xfrm>
            <a:off x="0" y="0"/>
            <a:ext cx="0" cy="0"/>
          </xdr:xfrm>
          <a:graphic>
            <a:graphicData uri="http://schemas.microsoft.com/office/drawing/2010/slicer">
              <sle:slicer xmlns:sle="http://schemas.microsoft.com/office/drawing/2010/slicer" name="Total Cost 1"/>
            </a:graphicData>
          </a:graphic>
        </xdr:graphicFrame>
      </mc:Choice>
      <mc:Fallback xmlns="">
        <xdr:sp macro="" textlink="">
          <xdr:nvSpPr>
            <xdr:cNvPr id="0" name=""/>
            <xdr:cNvSpPr>
              <a:spLocks noTextEdit="1"/>
            </xdr:cNvSpPr>
          </xdr:nvSpPr>
          <xdr:spPr>
            <a:xfrm>
              <a:off x="4953000" y="866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400050</xdr:colOff>
      <xdr:row>5</xdr:row>
      <xdr:rowOff>9525</xdr:rowOff>
    </xdr:from>
    <xdr:to>
      <xdr:col>6</xdr:col>
      <xdr:colOff>400050</xdr:colOff>
      <xdr:row>18</xdr:row>
      <xdr:rowOff>57150</xdr:rowOff>
    </xdr:to>
    <mc:AlternateContent xmlns:mc="http://schemas.openxmlformats.org/markup-compatibility/2006" xmlns:a14="http://schemas.microsoft.com/office/drawing/2010/main">
      <mc:Choice Requires="a14">
        <xdr:graphicFrame macro="">
          <xdr:nvGraphicFramePr>
            <xdr:cNvPr id="4" name="Delivery Date">
              <a:extLst>
                <a:ext uri="{FF2B5EF4-FFF2-40B4-BE49-F238E27FC236}">
                  <a16:creationId xmlns:a16="http://schemas.microsoft.com/office/drawing/2014/main" id="{921A6855-F760-4131-AE5E-66F8F4614AA8}"/>
                </a:ext>
              </a:extLst>
            </xdr:cNvPr>
            <xdr:cNvGraphicFramePr/>
          </xdr:nvGraphicFramePr>
          <xdr:xfrm>
            <a:off x="0" y="0"/>
            <a:ext cx="0" cy="0"/>
          </xdr:xfrm>
          <a:graphic>
            <a:graphicData uri="http://schemas.microsoft.com/office/drawing/2010/slicer">
              <sle:slicer xmlns:sle="http://schemas.microsoft.com/office/drawing/2010/slicer" name="Delivery Date"/>
            </a:graphicData>
          </a:graphic>
        </xdr:graphicFrame>
      </mc:Choice>
      <mc:Fallback xmlns="">
        <xdr:sp macro="" textlink="">
          <xdr:nvSpPr>
            <xdr:cNvPr id="0" name=""/>
            <xdr:cNvSpPr>
              <a:spLocks noTextEdit="1"/>
            </xdr:cNvSpPr>
          </xdr:nvSpPr>
          <xdr:spPr>
            <a:xfrm>
              <a:off x="2981325"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190500</xdr:colOff>
      <xdr:row>4</xdr:row>
      <xdr:rowOff>14288</xdr:rowOff>
    </xdr:from>
    <xdr:to>
      <xdr:col>12</xdr:col>
      <xdr:colOff>342900</xdr:colOff>
      <xdr:row>14</xdr:row>
      <xdr:rowOff>123826</xdr:rowOff>
    </xdr:to>
    <xdr:graphicFrame macro="">
      <xdr:nvGraphicFramePr>
        <xdr:cNvPr id="2" name="Chart 1">
          <a:extLst>
            <a:ext uri="{FF2B5EF4-FFF2-40B4-BE49-F238E27FC236}">
              <a16:creationId xmlns:a16="http://schemas.microsoft.com/office/drawing/2014/main" id="{897AAD2D-71B5-4FFF-B6AE-D5DB3E219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361950</xdr:colOff>
      <xdr:row>7</xdr:row>
      <xdr:rowOff>76200</xdr:rowOff>
    </xdr:from>
    <xdr:to>
      <xdr:col>3</xdr:col>
      <xdr:colOff>523875</xdr:colOff>
      <xdr:row>20</xdr:row>
      <xdr:rowOff>123825</xdr:rowOff>
    </xdr:to>
    <mc:AlternateContent xmlns:mc="http://schemas.openxmlformats.org/markup-compatibility/2006" xmlns:a14="http://schemas.microsoft.com/office/drawing/2010/main">
      <mc:Choice Requires="a14">
        <xdr:graphicFrame macro="">
          <xdr:nvGraphicFramePr>
            <xdr:cNvPr id="3" name="Warehouse Location">
              <a:extLst>
                <a:ext uri="{FF2B5EF4-FFF2-40B4-BE49-F238E27FC236}">
                  <a16:creationId xmlns:a16="http://schemas.microsoft.com/office/drawing/2014/main" id="{69A5864A-7B36-4F84-BF90-7443B8430CAE}"/>
                </a:ext>
              </a:extLst>
            </xdr:cNvPr>
            <xdr:cNvGraphicFramePr/>
          </xdr:nvGraphicFramePr>
          <xdr:xfrm>
            <a:off x="0" y="0"/>
            <a:ext cx="0" cy="0"/>
          </xdr:xfrm>
          <a:graphic>
            <a:graphicData uri="http://schemas.microsoft.com/office/drawing/2010/slicer">
              <sle:slicer xmlns:sle="http://schemas.microsoft.com/office/drawing/2010/slicer" name="Warehouse Location"/>
            </a:graphicData>
          </a:graphic>
        </xdr:graphicFrame>
      </mc:Choice>
      <mc:Fallback xmlns="">
        <xdr:sp macro="" textlink="">
          <xdr:nvSpPr>
            <xdr:cNvPr id="0" name=""/>
            <xdr:cNvSpPr>
              <a:spLocks noTextEdit="1"/>
            </xdr:cNvSpPr>
          </xdr:nvSpPr>
          <xdr:spPr>
            <a:xfrm>
              <a:off x="1238250" y="1409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76200</xdr:colOff>
      <xdr:row>3</xdr:row>
      <xdr:rowOff>66675</xdr:rowOff>
    </xdr:from>
    <xdr:to>
      <xdr:col>17</xdr:col>
      <xdr:colOff>76200</xdr:colOff>
      <xdr:row>16</xdr:row>
      <xdr:rowOff>114300</xdr:rowOff>
    </xdr:to>
    <mc:AlternateContent xmlns:mc="http://schemas.openxmlformats.org/markup-compatibility/2006" xmlns:a14="http://schemas.microsoft.com/office/drawing/2010/main">
      <mc:Choice Requires="a14">
        <xdr:graphicFrame macro="">
          <xdr:nvGraphicFramePr>
            <xdr:cNvPr id="4" name="Total Cost">
              <a:extLst>
                <a:ext uri="{FF2B5EF4-FFF2-40B4-BE49-F238E27FC236}">
                  <a16:creationId xmlns:a16="http://schemas.microsoft.com/office/drawing/2014/main" id="{D2289189-7A0D-4B03-95AF-7B1A9B74B99B}"/>
                </a:ext>
              </a:extLst>
            </xdr:cNvPr>
            <xdr:cNvGraphicFramePr/>
          </xdr:nvGraphicFramePr>
          <xdr:xfrm>
            <a:off x="0" y="0"/>
            <a:ext cx="0" cy="0"/>
          </xdr:xfrm>
          <a:graphic>
            <a:graphicData uri="http://schemas.microsoft.com/office/drawing/2010/slicer">
              <sle:slicer xmlns:sle="http://schemas.microsoft.com/office/drawing/2010/slicer" name="Total Cost"/>
            </a:graphicData>
          </a:graphic>
        </xdr:graphicFrame>
      </mc:Choice>
      <mc:Fallback xmlns="">
        <xdr:sp macro="" textlink="">
          <xdr:nvSpPr>
            <xdr:cNvPr id="0" name=""/>
            <xdr:cNvSpPr>
              <a:spLocks noTextEdit="1"/>
            </xdr:cNvSpPr>
          </xdr:nvSpPr>
          <xdr:spPr>
            <a:xfrm>
              <a:off x="9363075" y="638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44822</xdr:colOff>
      <xdr:row>62</xdr:row>
      <xdr:rowOff>156883</xdr:rowOff>
    </xdr:to>
    <xdr:sp macro="" textlink="">
      <xdr:nvSpPr>
        <xdr:cNvPr id="2" name="Rectangle: Rounded Corners 1">
          <a:extLst>
            <a:ext uri="{FF2B5EF4-FFF2-40B4-BE49-F238E27FC236}">
              <a16:creationId xmlns:a16="http://schemas.microsoft.com/office/drawing/2014/main" id="{0785A043-15FB-44D5-B60B-24B24A4F3EA8}"/>
            </a:ext>
          </a:extLst>
        </xdr:cNvPr>
        <xdr:cNvSpPr/>
      </xdr:nvSpPr>
      <xdr:spPr>
        <a:xfrm>
          <a:off x="0" y="0"/>
          <a:ext cx="21223940" cy="11273118"/>
        </a:xfrm>
        <a:prstGeom prst="roundRect">
          <a:avLst>
            <a:gd name="adj" fmla="val 0"/>
          </a:avLst>
        </a:prstGeom>
        <a:solidFill>
          <a:schemeClr val="tx2">
            <a:lumMod val="60000"/>
            <a:lumOff val="40000"/>
          </a:schemeClr>
        </a:solid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235323</xdr:colOff>
      <xdr:row>0</xdr:row>
      <xdr:rowOff>123266</xdr:rowOff>
    </xdr:from>
    <xdr:to>
      <xdr:col>16</xdr:col>
      <xdr:colOff>322168</xdr:colOff>
      <xdr:row>3</xdr:row>
      <xdr:rowOff>134472</xdr:rowOff>
    </xdr:to>
    <xdr:sp macro="" textlink="">
      <xdr:nvSpPr>
        <xdr:cNvPr id="3" name="TextBox 2">
          <a:extLst>
            <a:ext uri="{FF2B5EF4-FFF2-40B4-BE49-F238E27FC236}">
              <a16:creationId xmlns:a16="http://schemas.microsoft.com/office/drawing/2014/main" id="{38586D74-B6FC-4BB9-BEEE-80A0E1F6781E}"/>
            </a:ext>
          </a:extLst>
        </xdr:cNvPr>
        <xdr:cNvSpPr txBox="1"/>
      </xdr:nvSpPr>
      <xdr:spPr>
        <a:xfrm>
          <a:off x="3866029" y="123266"/>
          <a:ext cx="6138021" cy="549088"/>
        </a:xfrm>
        <a:prstGeom prst="rect">
          <a:avLst/>
        </a:prstGeom>
        <a:solidFill>
          <a:schemeClr val="tx2">
            <a:lumMod val="40000"/>
            <a:lumOff val="60000"/>
          </a:schemeClr>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Calibri (Body)"/>
            </a:rPr>
            <a:t>SUPPLY</a:t>
          </a:r>
          <a:r>
            <a:rPr lang="en-IN" sz="4000" baseline="0">
              <a:latin typeface="Calibri (Body)"/>
            </a:rPr>
            <a:t> </a:t>
          </a:r>
          <a:r>
            <a:rPr lang="en-IN" sz="3500" baseline="0">
              <a:latin typeface="Calibri (Body)"/>
            </a:rPr>
            <a:t>CHAIN</a:t>
          </a:r>
          <a:r>
            <a:rPr lang="en-IN" sz="4000" baseline="0">
              <a:latin typeface="Calibri (Body)"/>
            </a:rPr>
            <a:t> DASHBOARD</a:t>
          </a:r>
          <a:endParaRPr lang="en-IN" sz="4000">
            <a:latin typeface="Calibri (Body)"/>
          </a:endParaRPr>
        </a:p>
      </xdr:txBody>
    </xdr:sp>
    <xdr:clientData/>
  </xdr:twoCellAnchor>
  <xdr:twoCellAnchor editAs="oneCell">
    <xdr:from>
      <xdr:col>0</xdr:col>
      <xdr:colOff>116541</xdr:colOff>
      <xdr:row>5</xdr:row>
      <xdr:rowOff>51548</xdr:rowOff>
    </xdr:from>
    <xdr:to>
      <xdr:col>3</xdr:col>
      <xdr:colOff>358588</xdr:colOff>
      <xdr:row>24</xdr:row>
      <xdr:rowOff>145675</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BF6C0DD8-7468-465D-9748-01946226280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6541" y="948019"/>
              <a:ext cx="2057400" cy="350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489697</xdr:colOff>
      <xdr:row>5</xdr:row>
      <xdr:rowOff>39779</xdr:rowOff>
    </xdr:from>
    <xdr:to>
      <xdr:col>7</xdr:col>
      <xdr:colOff>44823</xdr:colOff>
      <xdr:row>24</xdr:row>
      <xdr:rowOff>123265</xdr:rowOff>
    </xdr:to>
    <mc:AlternateContent xmlns:mc="http://schemas.openxmlformats.org/markup-compatibility/2006">
      <mc:Choice xmlns:a14="http://schemas.microsoft.com/office/drawing/2010/main" Requires="a14">
        <xdr:graphicFrame macro="">
          <xdr:nvGraphicFramePr>
            <xdr:cNvPr id="8" name="Supplier 1">
              <a:extLst>
                <a:ext uri="{FF2B5EF4-FFF2-40B4-BE49-F238E27FC236}">
                  <a16:creationId xmlns:a16="http://schemas.microsoft.com/office/drawing/2014/main" id="{FCC6B971-F956-4CC9-8664-8C15A34A8AC2}"/>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dr:sp macro="" textlink="">
          <xdr:nvSpPr>
            <xdr:cNvPr id="0" name=""/>
            <xdr:cNvSpPr>
              <a:spLocks noTextEdit="1"/>
            </xdr:cNvSpPr>
          </xdr:nvSpPr>
          <xdr:spPr>
            <a:xfrm>
              <a:off x="2305050" y="936250"/>
              <a:ext cx="1975597" cy="3490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115982</xdr:colOff>
      <xdr:row>25</xdr:row>
      <xdr:rowOff>113179</xdr:rowOff>
    </xdr:from>
    <xdr:to>
      <xdr:col>3</xdr:col>
      <xdr:colOff>358588</xdr:colOff>
      <xdr:row>39</xdr:row>
      <xdr:rowOff>78441</xdr:rowOff>
    </xdr:to>
    <mc:AlternateContent xmlns:mc="http://schemas.openxmlformats.org/markup-compatibility/2006">
      <mc:Choice xmlns:a14="http://schemas.microsoft.com/office/drawing/2010/main" Requires="a14">
        <xdr:graphicFrame macro="">
          <xdr:nvGraphicFramePr>
            <xdr:cNvPr id="10" name="Warehouse Location 1">
              <a:extLst>
                <a:ext uri="{FF2B5EF4-FFF2-40B4-BE49-F238E27FC236}">
                  <a16:creationId xmlns:a16="http://schemas.microsoft.com/office/drawing/2014/main" id="{F3CF1D7F-0663-492E-8A08-EC6A525690D9}"/>
                </a:ext>
              </a:extLst>
            </xdr:cNvPr>
            <xdr:cNvGraphicFramePr/>
          </xdr:nvGraphicFramePr>
          <xdr:xfrm>
            <a:off x="0" y="0"/>
            <a:ext cx="0" cy="0"/>
          </xdr:xfrm>
          <a:graphic>
            <a:graphicData uri="http://schemas.microsoft.com/office/drawing/2010/slicer">
              <sle:slicer xmlns:sle="http://schemas.microsoft.com/office/drawing/2010/slicer" name="Warehouse Location 1"/>
            </a:graphicData>
          </a:graphic>
        </xdr:graphicFrame>
      </mc:Choice>
      <mc:Fallback>
        <xdr:sp macro="" textlink="">
          <xdr:nvSpPr>
            <xdr:cNvPr id="0" name=""/>
            <xdr:cNvSpPr>
              <a:spLocks noTextEdit="1"/>
            </xdr:cNvSpPr>
          </xdr:nvSpPr>
          <xdr:spPr>
            <a:xfrm>
              <a:off x="115982" y="4595532"/>
              <a:ext cx="2057959" cy="247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486895</xdr:colOff>
      <xdr:row>25</xdr:row>
      <xdr:rowOff>145675</xdr:rowOff>
    </xdr:from>
    <xdr:to>
      <xdr:col>7</xdr:col>
      <xdr:colOff>-1</xdr:colOff>
      <xdr:row>39</xdr:row>
      <xdr:rowOff>56028</xdr:rowOff>
    </xdr:to>
    <mc:AlternateContent xmlns:mc="http://schemas.openxmlformats.org/markup-compatibility/2006">
      <mc:Choice xmlns:a14="http://schemas.microsoft.com/office/drawing/2010/main" Requires="a14">
        <xdr:graphicFrame macro="">
          <xdr:nvGraphicFramePr>
            <xdr:cNvPr id="13" name="Delivery Date 1">
              <a:extLst>
                <a:ext uri="{FF2B5EF4-FFF2-40B4-BE49-F238E27FC236}">
                  <a16:creationId xmlns:a16="http://schemas.microsoft.com/office/drawing/2014/main" id="{195152C8-60F1-4C51-9322-912D51CB45AE}"/>
                </a:ext>
              </a:extLst>
            </xdr:cNvPr>
            <xdr:cNvGraphicFramePr/>
          </xdr:nvGraphicFramePr>
          <xdr:xfrm>
            <a:off x="0" y="0"/>
            <a:ext cx="0" cy="0"/>
          </xdr:xfrm>
          <a:graphic>
            <a:graphicData uri="http://schemas.microsoft.com/office/drawing/2010/slicer">
              <sle:slicer xmlns:sle="http://schemas.microsoft.com/office/drawing/2010/slicer" name="Delivery Date 1"/>
            </a:graphicData>
          </a:graphic>
        </xdr:graphicFrame>
      </mc:Choice>
      <mc:Fallback>
        <xdr:sp macro="" textlink="">
          <xdr:nvSpPr>
            <xdr:cNvPr id="0" name=""/>
            <xdr:cNvSpPr>
              <a:spLocks noTextEdit="1"/>
            </xdr:cNvSpPr>
          </xdr:nvSpPr>
          <xdr:spPr>
            <a:xfrm>
              <a:off x="2302248" y="4628028"/>
              <a:ext cx="1933575" cy="24204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177056</xdr:colOff>
      <xdr:row>5</xdr:row>
      <xdr:rowOff>36978</xdr:rowOff>
    </xdr:from>
    <xdr:to>
      <xdr:col>15</xdr:col>
      <xdr:colOff>246529</xdr:colOff>
      <xdr:row>24</xdr:row>
      <xdr:rowOff>179293</xdr:rowOff>
    </xdr:to>
    <xdr:graphicFrame macro="">
      <xdr:nvGraphicFramePr>
        <xdr:cNvPr id="14" name="Chart 13">
          <a:extLst>
            <a:ext uri="{FF2B5EF4-FFF2-40B4-BE49-F238E27FC236}">
              <a16:creationId xmlns:a16="http://schemas.microsoft.com/office/drawing/2014/main" id="{05BD6348-849D-4A30-A7D7-9129615D3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411815</xdr:colOff>
      <xdr:row>5</xdr:row>
      <xdr:rowOff>33618</xdr:rowOff>
    </xdr:from>
    <xdr:to>
      <xdr:col>21</xdr:col>
      <xdr:colOff>235322</xdr:colOff>
      <xdr:row>24</xdr:row>
      <xdr:rowOff>179293</xdr:rowOff>
    </xdr:to>
    <xdr:graphicFrame macro="">
      <xdr:nvGraphicFramePr>
        <xdr:cNvPr id="15" name="Chart 14">
          <a:extLst>
            <a:ext uri="{FF2B5EF4-FFF2-40B4-BE49-F238E27FC236}">
              <a16:creationId xmlns:a16="http://schemas.microsoft.com/office/drawing/2014/main" id="{0AC98C4A-C4C1-4D35-8F43-859855214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100851</xdr:colOff>
      <xdr:row>25</xdr:row>
      <xdr:rowOff>137271</xdr:rowOff>
    </xdr:from>
    <xdr:to>
      <xdr:col>25</xdr:col>
      <xdr:colOff>201705</xdr:colOff>
      <xdr:row>39</xdr:row>
      <xdr:rowOff>22410</xdr:rowOff>
    </xdr:to>
    <xdr:graphicFrame macro="">
      <xdr:nvGraphicFramePr>
        <xdr:cNvPr id="17" name="Chart 16">
          <a:extLst>
            <a:ext uri="{FF2B5EF4-FFF2-40B4-BE49-F238E27FC236}">
              <a16:creationId xmlns:a16="http://schemas.microsoft.com/office/drawing/2014/main" id="{60D1A0CB-3863-4D59-8A21-10E3F1EE2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319366</xdr:colOff>
      <xdr:row>5</xdr:row>
      <xdr:rowOff>36420</xdr:rowOff>
    </xdr:from>
    <xdr:to>
      <xdr:col>32</xdr:col>
      <xdr:colOff>437030</xdr:colOff>
      <xdr:row>25</xdr:row>
      <xdr:rowOff>22411</xdr:rowOff>
    </xdr:to>
    <xdr:graphicFrame macro="">
      <xdr:nvGraphicFramePr>
        <xdr:cNvPr id="19" name="Chart 18">
          <a:extLst>
            <a:ext uri="{FF2B5EF4-FFF2-40B4-BE49-F238E27FC236}">
              <a16:creationId xmlns:a16="http://schemas.microsoft.com/office/drawing/2014/main" id="{E2CCE076-3917-4674-8EC9-6F6C5C897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prasa/AppData/Local/Microsoft/Windows/INetCache/IE/TI6N99X8/Anudip%20Dashboard%20assignment%5b1%5d.xlsx%5d.xlsx%5d.xlsx%5d.xlsx%5d.xlsx%5d.xlsx%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P" refreshedDate="46000.726301273149" createdVersion="7" refreshedVersion="7" minRefreshableVersion="3" recordCount="30" xr:uid="{01BB019F-6C6C-4223-A02B-D5C37B9541A9}">
  <cacheSource type="worksheet">
    <worksheetSource ref="A1:G31" sheet=".xlsx].xlsx].xlsx].xlsx].xlsx].xlsx].xlsx].xlsx]Data" r:id="rId2"/>
  </cacheSource>
  <cacheFields count="7">
    <cacheField name="Product" numFmtId="0">
      <sharedItems count="5">
        <s v="Widget A"/>
        <s v="Widget B"/>
        <s v="Gadget X"/>
        <s v="Tool Z"/>
        <s v="Gadget Y"/>
      </sharedItems>
    </cacheField>
    <cacheField name="Supplier" numFmtId="0">
      <sharedItems count="5">
        <s v="Alpha Corp"/>
        <s v="Epsilon Co"/>
        <s v="Beta Ltd"/>
        <s v="Gamma Inc"/>
        <s v="Delta LLC"/>
      </sharedItems>
    </cacheField>
    <cacheField name="Warehouse Location" numFmtId="0">
      <sharedItems count="3">
        <s v="Warehouse 3"/>
        <s v="Warehouse 1"/>
        <s v="Warehouse 2"/>
      </sharedItems>
    </cacheField>
    <cacheField name="Quantity" numFmtId="0">
      <sharedItems containsSemiMixedTypes="0" containsString="0" containsNumber="1" containsInteger="1" minValue="11" maxValue="97" count="26">
        <n v="45"/>
        <n v="85"/>
        <n v="74"/>
        <n v="38"/>
        <n v="64"/>
        <n v="21"/>
        <n v="15"/>
        <n v="80"/>
        <n v="34"/>
        <n v="39"/>
        <n v="56"/>
        <n v="97"/>
        <n v="41"/>
        <n v="50"/>
        <n v="43"/>
        <n v="84"/>
        <n v="27"/>
        <n v="90"/>
        <n v="59"/>
        <n v="11"/>
        <n v="53"/>
        <n v="29"/>
        <n v="86"/>
        <n v="40"/>
        <n v="72"/>
        <n v="94"/>
      </sharedItems>
    </cacheField>
    <cacheField name="Unit Price" numFmtId="0">
      <sharedItems containsSemiMixedTypes="0" containsString="0" containsNumber="1" minValue="7.61" maxValue="48.73" count="29">
        <n v="16.02"/>
        <n v="23.99"/>
        <n v="32.090000000000003"/>
        <n v="25.21"/>
        <n v="20.309999999999999"/>
        <n v="22.1"/>
        <n v="37.840000000000003"/>
        <n v="18.190000000000001"/>
        <n v="36.71"/>
        <n v="43.99"/>
        <n v="12.32"/>
        <n v="34.159999999999997"/>
        <n v="12.35"/>
        <n v="19.59"/>
        <n v="23.05"/>
        <n v="14.57"/>
        <n v="11.28"/>
        <n v="24.28"/>
        <n v="27.93"/>
        <n v="12.2"/>
        <n v="22.17"/>
        <n v="35.61"/>
        <n v="10.02"/>
        <n v="48.73"/>
        <n v="18.43"/>
        <n v="21.83"/>
        <n v="7.61"/>
        <n v="41.72"/>
        <n v="26.39"/>
      </sharedItems>
    </cacheField>
    <cacheField name="Total Cost" numFmtId="0">
      <sharedItems containsSemiMixedTypes="0" containsString="0" containsNumber="1" minValue="304.39999999999998" maxValue="3313.52" count="30">
        <n v="720.9"/>
        <n v="2039.15"/>
        <n v="2374.66"/>
        <n v="957.98"/>
        <n v="1299.8399999999999"/>
        <n v="464.1"/>
        <n v="567.6"/>
        <n v="1455.2"/>
        <n v="1248.1400000000001"/>
        <n v="1715.61"/>
        <n v="689.92"/>
        <n v="3313.52"/>
        <n v="506.35"/>
        <n v="1900.23"/>
        <n v="1152.5"/>
        <n v="728.5"/>
        <n v="485.04"/>
        <n v="2039.52"/>
        <n v="754.11"/>
        <n v="1098"/>
        <n v="1308.03"/>
        <n v="391.71"/>
        <n v="531.05999999999995"/>
        <n v="2095.39"/>
        <n v="1658.7"/>
        <n v="633.07000000000005"/>
        <n v="1684.74"/>
        <n v="304.39999999999998"/>
        <n v="3003.84"/>
        <n v="2480.66"/>
      </sharedItems>
    </cacheField>
    <cacheField name="Delivery Date" numFmtId="14">
      <sharedItems containsSemiMixedTypes="0" containsNonDate="0" containsDate="1" containsString="0" minDate="2025-06-01T00:00:00" maxDate="2025-06-30T00:00:00" count="20">
        <d v="2025-06-05T00:00:00"/>
        <d v="2025-06-01T00:00:00"/>
        <d v="2025-06-18T00:00:00"/>
        <d v="2025-06-09T00:00:00"/>
        <d v="2025-06-12T00:00:00"/>
        <d v="2025-06-21T00:00:00"/>
        <d v="2025-06-02T00:00:00"/>
        <d v="2025-06-13T00:00:00"/>
        <d v="2025-06-20T00:00:00"/>
        <d v="2025-06-25T00:00:00"/>
        <d v="2025-06-03T00:00:00"/>
        <d v="2025-06-16T00:00:00"/>
        <d v="2025-06-24T00:00:00"/>
        <d v="2025-06-19T00:00:00"/>
        <d v="2025-06-22T00:00:00"/>
        <d v="2025-06-15T00:00:00"/>
        <d v="2025-06-04T00:00:00"/>
        <d v="2025-06-14T00:00:00"/>
        <d v="2025-06-06T00:00:00"/>
        <d v="2025-06-29T00:00:00"/>
      </sharedItems>
    </cacheField>
  </cacheFields>
  <extLst>
    <ext xmlns:x14="http://schemas.microsoft.com/office/spreadsheetml/2009/9/main" uri="{725AE2AE-9491-48be-B2B4-4EB974FC3084}">
      <x14:pivotCacheDefinition pivotCacheId="1183725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x v="0"/>
    <x v="0"/>
    <x v="0"/>
  </r>
  <r>
    <x v="0"/>
    <x v="1"/>
    <x v="1"/>
    <x v="1"/>
    <x v="1"/>
    <x v="1"/>
    <x v="1"/>
  </r>
  <r>
    <x v="0"/>
    <x v="2"/>
    <x v="1"/>
    <x v="2"/>
    <x v="2"/>
    <x v="2"/>
    <x v="2"/>
  </r>
  <r>
    <x v="1"/>
    <x v="1"/>
    <x v="2"/>
    <x v="3"/>
    <x v="3"/>
    <x v="3"/>
    <x v="3"/>
  </r>
  <r>
    <x v="0"/>
    <x v="2"/>
    <x v="0"/>
    <x v="4"/>
    <x v="4"/>
    <x v="4"/>
    <x v="0"/>
  </r>
  <r>
    <x v="1"/>
    <x v="3"/>
    <x v="1"/>
    <x v="5"/>
    <x v="5"/>
    <x v="5"/>
    <x v="4"/>
  </r>
  <r>
    <x v="2"/>
    <x v="1"/>
    <x v="2"/>
    <x v="6"/>
    <x v="6"/>
    <x v="6"/>
    <x v="2"/>
  </r>
  <r>
    <x v="0"/>
    <x v="4"/>
    <x v="1"/>
    <x v="7"/>
    <x v="7"/>
    <x v="7"/>
    <x v="5"/>
  </r>
  <r>
    <x v="3"/>
    <x v="3"/>
    <x v="0"/>
    <x v="8"/>
    <x v="8"/>
    <x v="8"/>
    <x v="6"/>
  </r>
  <r>
    <x v="1"/>
    <x v="3"/>
    <x v="1"/>
    <x v="9"/>
    <x v="9"/>
    <x v="9"/>
    <x v="7"/>
  </r>
  <r>
    <x v="2"/>
    <x v="4"/>
    <x v="0"/>
    <x v="10"/>
    <x v="10"/>
    <x v="10"/>
    <x v="4"/>
  </r>
  <r>
    <x v="1"/>
    <x v="3"/>
    <x v="0"/>
    <x v="11"/>
    <x v="11"/>
    <x v="11"/>
    <x v="8"/>
  </r>
  <r>
    <x v="1"/>
    <x v="1"/>
    <x v="0"/>
    <x v="12"/>
    <x v="12"/>
    <x v="12"/>
    <x v="7"/>
  </r>
  <r>
    <x v="2"/>
    <x v="1"/>
    <x v="1"/>
    <x v="11"/>
    <x v="13"/>
    <x v="13"/>
    <x v="9"/>
  </r>
  <r>
    <x v="0"/>
    <x v="2"/>
    <x v="1"/>
    <x v="13"/>
    <x v="14"/>
    <x v="14"/>
    <x v="10"/>
  </r>
  <r>
    <x v="1"/>
    <x v="1"/>
    <x v="0"/>
    <x v="13"/>
    <x v="15"/>
    <x v="15"/>
    <x v="11"/>
  </r>
  <r>
    <x v="4"/>
    <x v="4"/>
    <x v="1"/>
    <x v="14"/>
    <x v="16"/>
    <x v="16"/>
    <x v="12"/>
  </r>
  <r>
    <x v="3"/>
    <x v="1"/>
    <x v="2"/>
    <x v="15"/>
    <x v="17"/>
    <x v="17"/>
    <x v="13"/>
  </r>
  <r>
    <x v="4"/>
    <x v="3"/>
    <x v="1"/>
    <x v="16"/>
    <x v="18"/>
    <x v="18"/>
    <x v="10"/>
  </r>
  <r>
    <x v="0"/>
    <x v="0"/>
    <x v="1"/>
    <x v="17"/>
    <x v="19"/>
    <x v="19"/>
    <x v="14"/>
  </r>
  <r>
    <x v="4"/>
    <x v="1"/>
    <x v="1"/>
    <x v="18"/>
    <x v="20"/>
    <x v="20"/>
    <x v="15"/>
  </r>
  <r>
    <x v="3"/>
    <x v="3"/>
    <x v="0"/>
    <x v="19"/>
    <x v="21"/>
    <x v="21"/>
    <x v="16"/>
  </r>
  <r>
    <x v="3"/>
    <x v="3"/>
    <x v="0"/>
    <x v="20"/>
    <x v="22"/>
    <x v="22"/>
    <x v="17"/>
  </r>
  <r>
    <x v="1"/>
    <x v="4"/>
    <x v="1"/>
    <x v="14"/>
    <x v="23"/>
    <x v="23"/>
    <x v="9"/>
  </r>
  <r>
    <x v="1"/>
    <x v="1"/>
    <x v="1"/>
    <x v="17"/>
    <x v="24"/>
    <x v="24"/>
    <x v="5"/>
  </r>
  <r>
    <x v="3"/>
    <x v="1"/>
    <x v="1"/>
    <x v="21"/>
    <x v="25"/>
    <x v="25"/>
    <x v="18"/>
  </r>
  <r>
    <x v="3"/>
    <x v="1"/>
    <x v="1"/>
    <x v="22"/>
    <x v="13"/>
    <x v="26"/>
    <x v="1"/>
  </r>
  <r>
    <x v="0"/>
    <x v="3"/>
    <x v="2"/>
    <x v="23"/>
    <x v="26"/>
    <x v="27"/>
    <x v="19"/>
  </r>
  <r>
    <x v="3"/>
    <x v="0"/>
    <x v="1"/>
    <x v="24"/>
    <x v="27"/>
    <x v="28"/>
    <x v="9"/>
  </r>
  <r>
    <x v="3"/>
    <x v="2"/>
    <x v="1"/>
    <x v="25"/>
    <x v="28"/>
    <x v="2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305760-F344-4C8C-BB74-68B30545BDD9}"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9">
  <location ref="A3:B5" firstHeaderRow="1" firstDataRow="1" firstDataCol="1"/>
  <pivotFields count="7">
    <pivotField axis="axisRow" showAll="0">
      <items count="6">
        <item x="2"/>
        <item h="1" x="4"/>
        <item h="1" x="3"/>
        <item h="1" x="0"/>
        <item h="1" x="1"/>
        <item t="default"/>
      </items>
    </pivotField>
    <pivotField showAll="0"/>
    <pivotField showAll="0">
      <items count="4">
        <item x="1"/>
        <item x="2"/>
        <item x="0"/>
        <item t="default"/>
      </items>
    </pivotField>
    <pivotField showAll="0"/>
    <pivotField showAll="0"/>
    <pivotField dataField="1" showAll="0">
      <items count="31">
        <item x="27"/>
        <item x="21"/>
        <item x="5"/>
        <item x="16"/>
        <item x="12"/>
        <item x="22"/>
        <item x="6"/>
        <item x="25"/>
        <item x="10"/>
        <item x="0"/>
        <item x="15"/>
        <item x="18"/>
        <item x="3"/>
        <item x="19"/>
        <item x="14"/>
        <item x="8"/>
        <item x="4"/>
        <item x="20"/>
        <item x="7"/>
        <item x="24"/>
        <item x="26"/>
        <item x="9"/>
        <item x="13"/>
        <item x="1"/>
        <item x="17"/>
        <item x="23"/>
        <item x="2"/>
        <item x="29"/>
        <item x="28"/>
        <item x="11"/>
        <item t="default"/>
      </items>
    </pivotField>
    <pivotField numFmtId="14" showAll="0"/>
  </pivotFields>
  <rowFields count="1">
    <field x="0"/>
  </rowFields>
  <rowItems count="2">
    <i>
      <x/>
    </i>
    <i t="grand">
      <x/>
    </i>
  </rowItems>
  <colItems count="1">
    <i/>
  </colItems>
  <dataFields count="1">
    <dataField name="Sum of Total Cost" fld="5" baseField="0" baseItem="0"/>
  </dataFields>
  <chartFormats count="2">
    <chartFormat chart="17"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431530-A65A-444D-8613-3DF8DCFE0DA6}"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D5" firstHeaderRow="1" firstDataRow="2" firstDataCol="1"/>
  <pivotFields count="7">
    <pivotField showAll="0">
      <items count="6">
        <item x="2"/>
        <item h="1" x="4"/>
        <item h="1" x="3"/>
        <item h="1" x="0"/>
        <item h="1" x="1"/>
        <item t="default"/>
      </items>
    </pivotField>
    <pivotField axis="axisCol" showAll="0">
      <items count="6">
        <item x="0"/>
        <item x="2"/>
        <item x="4"/>
        <item x="1"/>
        <item x="3"/>
        <item t="default"/>
      </items>
    </pivotField>
    <pivotField showAll="0"/>
    <pivotField showAll="0"/>
    <pivotField showAll="0"/>
    <pivotField dataField="1" showAll="0">
      <items count="31">
        <item x="27"/>
        <item x="21"/>
        <item x="5"/>
        <item x="16"/>
        <item x="12"/>
        <item x="22"/>
        <item x="6"/>
        <item x="25"/>
        <item x="10"/>
        <item x="0"/>
        <item x="15"/>
        <item x="18"/>
        <item x="3"/>
        <item x="19"/>
        <item x="14"/>
        <item x="8"/>
        <item x="4"/>
        <item x="20"/>
        <item x="7"/>
        <item x="24"/>
        <item x="26"/>
        <item x="9"/>
        <item x="13"/>
        <item x="1"/>
        <item x="17"/>
        <item x="23"/>
        <item x="2"/>
        <item x="29"/>
        <item x="28"/>
        <item x="11"/>
        <item t="default"/>
      </items>
    </pivotField>
    <pivotField numFmtId="14" showAll="0"/>
  </pivotFields>
  <rowItems count="1">
    <i/>
  </rowItems>
  <colFields count="1">
    <field x="1"/>
  </colFields>
  <colItems count="3">
    <i>
      <x v="2"/>
    </i>
    <i>
      <x v="3"/>
    </i>
    <i t="grand">
      <x/>
    </i>
  </colItems>
  <dataFields count="1">
    <dataField name="Sum of Total Cost" fld="5" baseField="0" baseItem="0"/>
  </dataFields>
  <chartFormats count="10">
    <chartFormat chart="0" format="1"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2" format="21" series="1">
      <pivotArea type="data" outline="0" fieldPosition="0">
        <references count="2">
          <reference field="4294967294" count="1" selected="0">
            <x v="0"/>
          </reference>
          <reference field="1" count="1" selected="0">
            <x v="0"/>
          </reference>
        </references>
      </pivotArea>
    </chartFormat>
    <chartFormat chart="2" format="23" series="1">
      <pivotArea type="data" outline="0" fieldPosition="0">
        <references count="2">
          <reference field="4294967294" count="1" selected="0">
            <x v="0"/>
          </reference>
          <reference field="1" count="1" selected="0">
            <x v="1"/>
          </reference>
        </references>
      </pivotArea>
    </chartFormat>
    <chartFormat chart="2" format="25" series="1">
      <pivotArea type="data" outline="0" fieldPosition="0">
        <references count="2">
          <reference field="4294967294" count="1" selected="0">
            <x v="0"/>
          </reference>
          <reference field="1" count="1" selected="0">
            <x v="2"/>
          </reference>
        </references>
      </pivotArea>
    </chartFormat>
    <chartFormat chart="2" format="27" series="1">
      <pivotArea type="data" outline="0" fieldPosition="0">
        <references count="2">
          <reference field="4294967294" count="1" selected="0">
            <x v="0"/>
          </reference>
          <reference field="1" count="1" selected="0">
            <x v="3"/>
          </reference>
        </references>
      </pivotArea>
    </chartFormat>
    <chartFormat chart="2" format="29"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3AA446-8060-4577-8612-F246F8178FD7}"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3:B7" firstHeaderRow="1" firstDataRow="1" firstDataCol="1"/>
  <pivotFields count="7">
    <pivotField showAll="0">
      <items count="6">
        <item x="2"/>
        <item h="1" x="4"/>
        <item h="1" x="3"/>
        <item h="1" x="0"/>
        <item h="1" x="1"/>
        <item t="default"/>
      </items>
    </pivotField>
    <pivotField showAll="0"/>
    <pivotField showAll="0"/>
    <pivotField showAll="0"/>
    <pivotField showAll="0"/>
    <pivotField dataField="1" showAll="0">
      <items count="31">
        <item x="27"/>
        <item x="21"/>
        <item x="5"/>
        <item x="16"/>
        <item x="12"/>
        <item x="22"/>
        <item x="6"/>
        <item x="25"/>
        <item x="10"/>
        <item x="0"/>
        <item x="15"/>
        <item x="18"/>
        <item x="3"/>
        <item x="19"/>
        <item x="14"/>
        <item x="8"/>
        <item x="4"/>
        <item x="20"/>
        <item x="7"/>
        <item x="24"/>
        <item x="26"/>
        <item x="9"/>
        <item x="13"/>
        <item x="1"/>
        <item x="17"/>
        <item x="23"/>
        <item x="2"/>
        <item x="29"/>
        <item x="28"/>
        <item x="11"/>
        <item t="default"/>
      </items>
    </pivotField>
    <pivotField axis="axisRow" numFmtId="14" showAll="0">
      <items count="21">
        <item x="1"/>
        <item x="6"/>
        <item x="10"/>
        <item x="16"/>
        <item x="0"/>
        <item x="18"/>
        <item x="3"/>
        <item x="4"/>
        <item x="7"/>
        <item x="17"/>
        <item x="15"/>
        <item x="11"/>
        <item x="2"/>
        <item x="13"/>
        <item x="8"/>
        <item x="5"/>
        <item x="14"/>
        <item x="12"/>
        <item x="9"/>
        <item x="19"/>
        <item t="default"/>
      </items>
    </pivotField>
  </pivotFields>
  <rowFields count="1">
    <field x="6"/>
  </rowFields>
  <rowItems count="4">
    <i>
      <x v="7"/>
    </i>
    <i>
      <x v="12"/>
    </i>
    <i>
      <x v="18"/>
    </i>
    <i t="grand">
      <x/>
    </i>
  </rowItems>
  <colItems count="1">
    <i/>
  </colItems>
  <dataFields count="1">
    <dataField name="Sum of Total Cost" fld="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4AD8E-B9BB-4148-8B88-4E83BBD1EB7F}"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3:B7" firstHeaderRow="1" firstDataRow="1" firstDataCol="1"/>
  <pivotFields count="7">
    <pivotField showAll="0">
      <items count="6">
        <item x="2"/>
        <item h="1" x="4"/>
        <item h="1" x="3"/>
        <item h="1" x="0"/>
        <item h="1" x="1"/>
        <item t="default"/>
      </items>
    </pivotField>
    <pivotField showAll="0"/>
    <pivotField axis="axisRow" showAll="0">
      <items count="4">
        <item x="1"/>
        <item x="2"/>
        <item x="0"/>
        <item t="default"/>
      </items>
    </pivotField>
    <pivotField showAll="0"/>
    <pivotField showAll="0"/>
    <pivotField dataField="1" showAll="0">
      <items count="31">
        <item x="27"/>
        <item x="21"/>
        <item x="5"/>
        <item x="16"/>
        <item x="12"/>
        <item x="22"/>
        <item x="6"/>
        <item x="25"/>
        <item x="10"/>
        <item x="0"/>
        <item x="15"/>
        <item x="18"/>
        <item x="3"/>
        <item x="19"/>
        <item x="14"/>
        <item x="8"/>
        <item x="4"/>
        <item x="20"/>
        <item x="7"/>
        <item x="24"/>
        <item x="26"/>
        <item x="9"/>
        <item x="13"/>
        <item x="1"/>
        <item x="17"/>
        <item x="23"/>
        <item x="2"/>
        <item x="29"/>
        <item x="28"/>
        <item x="11"/>
        <item t="default"/>
      </items>
    </pivotField>
    <pivotField numFmtId="14" showAll="0"/>
  </pivotFields>
  <rowFields count="1">
    <field x="2"/>
  </rowFields>
  <rowItems count="4">
    <i>
      <x/>
    </i>
    <i>
      <x v="1"/>
    </i>
    <i>
      <x v="2"/>
    </i>
    <i t="grand">
      <x/>
    </i>
  </rowItems>
  <colItems count="1">
    <i/>
  </colItems>
  <dataFields count="1">
    <dataField name="Sum of Total Cost" fld="5" baseField="0" baseItem="0"/>
  </dataFields>
  <chartFormats count="1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3" format="1">
      <pivotArea type="data" outline="0" fieldPosition="0">
        <references count="2">
          <reference field="4294967294" count="1" selected="0">
            <x v="0"/>
          </reference>
          <reference field="2" count="1" selected="0">
            <x v="0"/>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D805F8-DB86-4F49-8851-C77E9D88B034}"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4:C7" firstHeaderRow="1" firstDataRow="3" firstDataCol="1" rowPageCount="2" colPageCount="1"/>
  <pivotFields count="7">
    <pivotField axis="axisRow" showAll="0">
      <items count="6">
        <item x="2"/>
        <item h="1" x="4"/>
        <item h="1" x="3"/>
        <item h="1" x="0"/>
        <item h="1" x="1"/>
        <item t="default"/>
      </items>
    </pivotField>
    <pivotField axis="axisCol" showAll="0">
      <items count="6">
        <item x="0"/>
        <item h="1" x="2"/>
        <item h="1" x="4"/>
        <item h="1" x="1"/>
        <item h="1" x="3"/>
        <item t="default"/>
      </items>
    </pivotField>
    <pivotField axis="axisPage" showAll="0">
      <items count="4">
        <item x="1"/>
        <item x="2"/>
        <item x="0"/>
        <item t="default"/>
      </items>
    </pivotField>
    <pivotField dataField="1" showAll="0">
      <items count="27">
        <item x="19"/>
        <item x="6"/>
        <item x="5"/>
        <item x="16"/>
        <item x="21"/>
        <item x="8"/>
        <item x="3"/>
        <item x="9"/>
        <item x="23"/>
        <item x="12"/>
        <item x="14"/>
        <item x="0"/>
        <item x="13"/>
        <item x="20"/>
        <item x="10"/>
        <item x="18"/>
        <item x="4"/>
        <item x="24"/>
        <item x="2"/>
        <item x="7"/>
        <item x="15"/>
        <item x="1"/>
        <item x="22"/>
        <item x="17"/>
        <item x="25"/>
        <item x="11"/>
        <item t="default"/>
      </items>
    </pivotField>
    <pivotField showAll="0">
      <items count="30">
        <item x="26"/>
        <item x="22"/>
        <item x="16"/>
        <item x="19"/>
        <item x="10"/>
        <item x="12"/>
        <item x="15"/>
        <item x="0"/>
        <item x="7"/>
        <item x="24"/>
        <item x="13"/>
        <item x="4"/>
        <item x="25"/>
        <item x="5"/>
        <item x="20"/>
        <item x="14"/>
        <item x="1"/>
        <item x="17"/>
        <item x="3"/>
        <item x="28"/>
        <item x="18"/>
        <item x="2"/>
        <item x="11"/>
        <item x="21"/>
        <item x="8"/>
        <item x="6"/>
        <item x="27"/>
        <item x="9"/>
        <item x="23"/>
        <item t="default"/>
      </items>
    </pivotField>
    <pivotField dataField="1" showAll="0">
      <items count="31">
        <item x="27"/>
        <item x="21"/>
        <item x="5"/>
        <item x="16"/>
        <item x="12"/>
        <item x="22"/>
        <item x="6"/>
        <item x="25"/>
        <item x="10"/>
        <item x="0"/>
        <item x="15"/>
        <item x="18"/>
        <item x="3"/>
        <item x="19"/>
        <item x="14"/>
        <item x="8"/>
        <item x="4"/>
        <item x="20"/>
        <item x="7"/>
        <item x="24"/>
        <item x="26"/>
        <item x="9"/>
        <item x="13"/>
        <item x="1"/>
        <item x="17"/>
        <item x="23"/>
        <item x="2"/>
        <item x="29"/>
        <item x="28"/>
        <item x="11"/>
        <item t="default"/>
      </items>
    </pivotField>
    <pivotField axis="axisPage" numFmtId="14" showAll="0">
      <items count="21">
        <item x="1"/>
        <item x="6"/>
        <item x="10"/>
        <item x="16"/>
        <item x="0"/>
        <item x="18"/>
        <item x="3"/>
        <item x="4"/>
        <item x="7"/>
        <item x="17"/>
        <item x="15"/>
        <item x="11"/>
        <item x="2"/>
        <item x="13"/>
        <item x="8"/>
        <item x="5"/>
        <item x="14"/>
        <item x="12"/>
        <item x="9"/>
        <item x="19"/>
        <item t="default"/>
      </items>
    </pivotField>
  </pivotFields>
  <rowFields count="1">
    <field x="0"/>
  </rowFields>
  <rowItems count="1">
    <i t="grand">
      <x/>
    </i>
  </rowItems>
  <colFields count="2">
    <field x="1"/>
    <field x="-2"/>
  </colFields>
  <colItems count="2">
    <i t="grand">
      <x/>
    </i>
    <i t="grand" i="1">
      <x v="1"/>
    </i>
  </colItems>
  <pageFields count="2">
    <pageField fld="2" item="0" hier="-1"/>
    <pageField fld="6" item="10" hier="-1"/>
  </pageFields>
  <dataFields count="2">
    <dataField name="Sum of Quantity" fld="3" baseField="0" baseItem="0"/>
    <dataField name="Sum of Total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38F7B6-A181-4A60-956F-2D178BC2DA97}" sourceName="Product">
  <pivotTables>
    <pivotTable tabId="3" name="PivotTable2"/>
    <pivotTable tabId="8" name="PivotTable3"/>
    <pivotTable tabId="6" name="PivotTable1"/>
    <pivotTable tabId="7" name="PivotTable2"/>
    <pivotTable tabId="11" name="PivotTable5"/>
  </pivotTables>
  <data>
    <tabular pivotCacheId="1183725566">
      <items count="5">
        <i x="2" s="1"/>
        <i x="4"/>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85496999-FC8C-4061-A8DB-DC343ACC4C34}" sourceName="Supplier">
  <pivotTables>
    <pivotTable tabId="3" name="PivotTable2"/>
  </pivotTables>
  <data>
    <tabular pivotCacheId="1183725566">
      <items count="5">
        <i x="0" s="1" nd="1"/>
        <i x="2" nd="1"/>
        <i x="4" nd="1"/>
        <i x="1"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 xr10:uid="{3C950A74-54DA-4F6C-896F-07ABAC1CD040}" sourceName="Warehouse Location">
  <pivotTables>
    <pivotTable tabId="3" name="PivotTable2"/>
  </pivotTables>
  <data>
    <tabular pivotCacheId="1183725566">
      <items count="3">
        <i x="1" s="1"/>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 xr10:uid="{23F913C9-767B-44F9-ABC6-20331739A6B5}" sourceName="Delivery Date">
  <pivotTables>
    <pivotTable tabId="3" name="PivotTable2"/>
  </pivotTables>
  <data>
    <tabular pivotCacheId="1183725566">
      <items count="20">
        <i x="1" nd="1"/>
        <i x="6" nd="1"/>
        <i x="10" nd="1"/>
        <i x="16" nd="1"/>
        <i x="0" nd="1"/>
        <i x="18" nd="1"/>
        <i x="3" nd="1"/>
        <i x="4" nd="1"/>
        <i x="7" nd="1"/>
        <i x="17" nd="1"/>
        <i x="15" s="1" nd="1"/>
        <i x="11" nd="1"/>
        <i x="2" nd="1"/>
        <i x="13" nd="1"/>
        <i x="8" nd="1"/>
        <i x="5" nd="1"/>
        <i x="14" nd="1"/>
        <i x="12" nd="1"/>
        <i x="9" nd="1"/>
        <i x="19"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Location1" xr10:uid="{07355183-873F-4AFB-924A-CA0868BAE8A6}" sourceName="Warehouse Location">
  <pivotTables>
    <pivotTable tabId="11" name="PivotTable5"/>
  </pivotTables>
  <data>
    <tabular pivotCacheId="1183725566">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 xr10:uid="{8FEBB6A5-7D9E-471B-A08A-1EED1624B16B}" sourceName="Total Cost">
  <pivotTables>
    <pivotTable tabId="11" name="PivotTable5"/>
  </pivotTables>
  <data>
    <tabular pivotCacheId="1183725566">
      <items count="30">
        <i x="6" s="1"/>
        <i x="10" s="1"/>
        <i x="13" s="1"/>
        <i x="27" s="1" nd="1"/>
        <i x="21" s="1" nd="1"/>
        <i x="5" s="1" nd="1"/>
        <i x="16" s="1" nd="1"/>
        <i x="12" s="1" nd="1"/>
        <i x="22" s="1" nd="1"/>
        <i x="25" s="1" nd="1"/>
        <i x="0" s="1" nd="1"/>
        <i x="15" s="1" nd="1"/>
        <i x="18" s="1" nd="1"/>
        <i x="3" s="1" nd="1"/>
        <i x="19" s="1" nd="1"/>
        <i x="14" s="1" nd="1"/>
        <i x="8" s="1" nd="1"/>
        <i x="4" s="1" nd="1"/>
        <i x="20" s="1" nd="1"/>
        <i x="7" s="1" nd="1"/>
        <i x="24" s="1" nd="1"/>
        <i x="26" s="1" nd="1"/>
        <i x="9" s="1" nd="1"/>
        <i x="1" s="1" nd="1"/>
        <i x="17" s="1" nd="1"/>
        <i x="23" s="1" nd="1"/>
        <i x="2" s="1" nd="1"/>
        <i x="29" s="1" nd="1"/>
        <i x="28" s="1" nd="1"/>
        <i x="11"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1" xr10:uid="{928E1641-1A4D-47C3-A909-240B84FC0BD2}" sourceName="Total Cost">
  <pivotTables>
    <pivotTable tabId="8" name="PivotTable3"/>
  </pivotTables>
  <data>
    <tabular pivotCacheId="1183725566">
      <items count="30">
        <i x="6" s="1"/>
        <i x="10" s="1"/>
        <i x="13" s="1"/>
        <i x="27" s="1" nd="1"/>
        <i x="21" s="1" nd="1"/>
        <i x="5" s="1" nd="1"/>
        <i x="16" s="1" nd="1"/>
        <i x="12" s="1" nd="1"/>
        <i x="22" s="1" nd="1"/>
        <i x="25" s="1" nd="1"/>
        <i x="0" s="1" nd="1"/>
        <i x="15" s="1" nd="1"/>
        <i x="18" s="1" nd="1"/>
        <i x="3" s="1" nd="1"/>
        <i x="19" s="1" nd="1"/>
        <i x="14" s="1" nd="1"/>
        <i x="8" s="1" nd="1"/>
        <i x="4" s="1" nd="1"/>
        <i x="20" s="1" nd="1"/>
        <i x="7" s="1" nd="1"/>
        <i x="24" s="1" nd="1"/>
        <i x="26" s="1" nd="1"/>
        <i x="9" s="1" nd="1"/>
        <i x="1" s="1" nd="1"/>
        <i x="17" s="1" nd="1"/>
        <i x="23" s="1" nd="1"/>
        <i x="2" s="1" nd="1"/>
        <i x="29" s="1" nd="1"/>
        <i x="28" s="1" nd="1"/>
        <i x="1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1" xr10:uid="{671AC85A-B160-4AE3-A66D-2D5A042CCD75}" sourceName="Delivery Date">
  <pivotTables>
    <pivotTable tabId="8" name="PivotTable3"/>
  </pivotTables>
  <data>
    <tabular pivotCacheId="1183725566">
      <items count="20">
        <i x="4" s="1"/>
        <i x="2" s="1"/>
        <i x="9" s="1"/>
        <i x="1" s="1" nd="1"/>
        <i x="6" s="1" nd="1"/>
        <i x="10" s="1" nd="1"/>
        <i x="16" s="1" nd="1"/>
        <i x="0" s="1" nd="1"/>
        <i x="18" s="1" nd="1"/>
        <i x="3" s="1" nd="1"/>
        <i x="7" s="1" nd="1"/>
        <i x="17" s="1" nd="1"/>
        <i x="15" s="1" nd="1"/>
        <i x="11" s="1" nd="1"/>
        <i x="13" s="1" nd="1"/>
        <i x="8" s="1" nd="1"/>
        <i x="5" s="1" nd="1"/>
        <i x="14" s="1" nd="1"/>
        <i x="12" s="1" nd="1"/>
        <i x="1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17A114E6-7812-4897-A729-3691AD882E51}" sourceName="Supplier">
  <pivotTables>
    <pivotTable tabId="7" name="PivotTable2"/>
  </pivotTables>
  <data>
    <tabular pivotCacheId="1183725566">
      <items count="5">
        <i x="4" s="1"/>
        <i x="1" s="1"/>
        <i x="0" s="1" nd="1"/>
        <i x="2" s="1" nd="1"/>
        <i x="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2" xr10:uid="{CE14EF4D-7540-4CB2-8B7B-9E4CBABBF79E}" sourceName="Total Cost">
  <pivotTables>
    <pivotTable tabId="7" name="PivotTable2"/>
  </pivotTables>
  <data>
    <tabular pivotCacheId="1183725566">
      <items count="30">
        <i x="6" s="1"/>
        <i x="10" s="1"/>
        <i x="13" s="1"/>
        <i x="27" s="1" nd="1"/>
        <i x="21" s="1" nd="1"/>
        <i x="5" s="1" nd="1"/>
        <i x="16" s="1" nd="1"/>
        <i x="12" s="1" nd="1"/>
        <i x="22" s="1" nd="1"/>
        <i x="25" s="1" nd="1"/>
        <i x="0" s="1" nd="1"/>
        <i x="15" s="1" nd="1"/>
        <i x="18" s="1" nd="1"/>
        <i x="3" s="1" nd="1"/>
        <i x="19" s="1" nd="1"/>
        <i x="14" s="1" nd="1"/>
        <i x="8" s="1" nd="1"/>
        <i x="4" s="1" nd="1"/>
        <i x="20" s="1" nd="1"/>
        <i x="7" s="1" nd="1"/>
        <i x="24" s="1" nd="1"/>
        <i x="26" s="1" nd="1"/>
        <i x="9" s="1" nd="1"/>
        <i x="1" s="1" nd="1"/>
        <i x="17" s="1" nd="1"/>
        <i x="23" s="1" nd="1"/>
        <i x="2" s="1" nd="1"/>
        <i x="29" s="1" nd="1"/>
        <i x="28" s="1" nd="1"/>
        <i x="11"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Cost3" xr10:uid="{8991B741-9196-47A8-806F-C15873E3FDE0}" sourceName="Total Cost">
  <pivotTables>
    <pivotTable tabId="6" name="PivotTable1"/>
  </pivotTables>
  <data>
    <tabular pivotCacheId="1183725566">
      <items count="30">
        <i x="6" s="1"/>
        <i x="10" s="1"/>
        <i x="13" s="1"/>
        <i x="27" s="1" nd="1"/>
        <i x="21" s="1" nd="1"/>
        <i x="5" s="1" nd="1"/>
        <i x="16" s="1" nd="1"/>
        <i x="12" s="1" nd="1"/>
        <i x="22" s="1" nd="1"/>
        <i x="25" s="1" nd="1"/>
        <i x="0" s="1" nd="1"/>
        <i x="15" s="1" nd="1"/>
        <i x="18" s="1" nd="1"/>
        <i x="3" s="1" nd="1"/>
        <i x="19" s="1" nd="1"/>
        <i x="14" s="1" nd="1"/>
        <i x="8" s="1" nd="1"/>
        <i x="4" s="1" nd="1"/>
        <i x="20" s="1" nd="1"/>
        <i x="7" s="1" nd="1"/>
        <i x="24" s="1" nd="1"/>
        <i x="26" s="1" nd="1"/>
        <i x="9" s="1" nd="1"/>
        <i x="1" s="1" nd="1"/>
        <i x="17" s="1" nd="1"/>
        <i x="23" s="1" nd="1"/>
        <i x="2" s="1" nd="1"/>
        <i x="29" s="1" nd="1"/>
        <i x="28"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974097A-EB3E-436F-B883-9132B31136C3}" cache="Slicer_Product" caption="Product" rowHeight="241300"/>
  <slicer name="Total Cost 3" xr10:uid="{02182E84-161A-4F55-8362-34B532E564B7}" cache="Slicer_Total_Cost3" caption="Total Cos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0615FF31-E069-40E4-9227-1F474C28664E}" cache="Slicer_Supplier1" caption="Supplier" rowHeight="241300"/>
  <slicer name="Total Cost 2" xr10:uid="{99805E2D-9620-4565-84A9-66F5AE0FBF9E}" cache="Slicer_Total_Cost2" caption="Total Cos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tal Cost 1" xr10:uid="{E8EDF4C0-7E0F-49DC-AD28-CA2C5100605A}" cache="Slicer_Total_Cost1" caption="Total Cost" rowHeight="241300"/>
  <slicer name="Delivery Date" xr10:uid="{1D570CC0-A1DB-4135-978B-41FBF0446598}" cache="Slicer_Delivery_Date1" caption="Delivery Dat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Location" xr10:uid="{D68D321F-0981-4BFD-B451-CECCDDD9AAB8}" cache="Slicer_Warehouse_Location1" caption="Warehouse Location" rowHeight="241300"/>
  <slicer name="Total Cost" xr10:uid="{600EEAED-E320-452B-85C9-BD5403A75803}" cache="Slicer_Total_Cost" caption="Total Cost"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151E1D7-B8CF-48D7-9F72-F51B055ED1FD}" cache="Slicer_Product" caption="Product" rowHeight="241300"/>
  <slicer name="Supplier 1" xr10:uid="{D0ED2C64-E6DB-4F63-956D-760DDE2758AF}" cache="Slicer_Supplier" caption="Supplier" rowHeight="241300"/>
  <slicer name="Warehouse Location 1" xr10:uid="{910D13DA-9E21-42C4-B55E-6C45A0C40A75}" cache="Slicer_Warehouse_Location" caption="Warehouse Location" rowHeight="241300"/>
  <slicer name="Delivery Date 1" xr10:uid="{25896420-A5DD-4D52-BE62-7DCAB3298B2A}" cache="Slicer_Delivery_Date" caption="Delivery Date" startItem="1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C81D-D856-4667-94CA-295C062AA755}">
  <dimension ref="A3:B5"/>
  <sheetViews>
    <sheetView workbookViewId="0">
      <selection activeCell="A3" sqref="A3"/>
    </sheetView>
  </sheetViews>
  <sheetFormatPr defaultRowHeight="14.4" x14ac:dyDescent="0.3"/>
  <cols>
    <col min="1" max="1" width="12.5546875" bestFit="1" customWidth="1"/>
    <col min="2" max="2" width="15.88671875" bestFit="1" customWidth="1"/>
  </cols>
  <sheetData>
    <row r="3" spans="1:2" x14ac:dyDescent="0.3">
      <c r="A3" s="2" t="s">
        <v>22</v>
      </c>
      <c r="B3" t="s">
        <v>25</v>
      </c>
    </row>
    <row r="4" spans="1:2" x14ac:dyDescent="0.3">
      <c r="A4" s="3" t="s">
        <v>16</v>
      </c>
      <c r="B4">
        <v>3157.75</v>
      </c>
    </row>
    <row r="5" spans="1:2" x14ac:dyDescent="0.3">
      <c r="A5" s="3" t="s">
        <v>21</v>
      </c>
      <c r="B5">
        <v>3157.75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0964-C464-4B80-A93E-ED630DBFF42B}">
  <dimension ref="A3:D5"/>
  <sheetViews>
    <sheetView workbookViewId="0">
      <selection activeCell="A4" sqref="A4"/>
    </sheetView>
  </sheetViews>
  <sheetFormatPr defaultRowHeight="14.4" x14ac:dyDescent="0.3"/>
  <cols>
    <col min="1" max="1" width="15.88671875" bestFit="1" customWidth="1"/>
    <col min="2" max="2" width="15.5546875" bestFit="1" customWidth="1"/>
    <col min="3" max="3" width="9.6640625" bestFit="1" customWidth="1"/>
    <col min="4" max="4" width="10.77734375" bestFit="1" customWidth="1"/>
    <col min="5" max="5" width="9.6640625" bestFit="1" customWidth="1"/>
    <col min="6" max="6" width="10.5546875" bestFit="1" customWidth="1"/>
    <col min="7" max="7" width="10.77734375" bestFit="1" customWidth="1"/>
    <col min="8" max="10" width="16.44140625" bestFit="1" customWidth="1"/>
    <col min="11" max="11" width="20.44140625" bestFit="1" customWidth="1"/>
    <col min="12" max="12" width="21.5546875" bestFit="1" customWidth="1"/>
  </cols>
  <sheetData>
    <row r="3" spans="1:4" x14ac:dyDescent="0.3">
      <c r="B3" s="2" t="s">
        <v>20</v>
      </c>
    </row>
    <row r="4" spans="1:4" x14ac:dyDescent="0.3">
      <c r="B4" t="s">
        <v>17</v>
      </c>
      <c r="C4" t="s">
        <v>10</v>
      </c>
      <c r="D4" t="s">
        <v>21</v>
      </c>
    </row>
    <row r="5" spans="1:4" x14ac:dyDescent="0.3">
      <c r="A5" t="s">
        <v>25</v>
      </c>
      <c r="B5">
        <v>689.92</v>
      </c>
      <c r="C5">
        <v>2467.83</v>
      </c>
      <c r="D5">
        <v>3157.75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943FA-0E6A-4E27-8EA2-5677E9EC541E}">
  <dimension ref="A3:B7"/>
  <sheetViews>
    <sheetView workbookViewId="0">
      <selection activeCell="A3" sqref="A3"/>
    </sheetView>
  </sheetViews>
  <sheetFormatPr defaultRowHeight="14.4" x14ac:dyDescent="0.3"/>
  <cols>
    <col min="1" max="1" width="12.5546875" bestFit="1" customWidth="1"/>
    <col min="2" max="2" width="15.88671875" bestFit="1" customWidth="1"/>
  </cols>
  <sheetData>
    <row r="3" spans="1:2" x14ac:dyDescent="0.3">
      <c r="A3" s="2" t="s">
        <v>22</v>
      </c>
      <c r="B3" t="s">
        <v>25</v>
      </c>
    </row>
    <row r="4" spans="1:2" x14ac:dyDescent="0.3">
      <c r="A4" s="6">
        <v>45820</v>
      </c>
      <c r="B4">
        <v>689.92</v>
      </c>
    </row>
    <row r="5" spans="1:2" x14ac:dyDescent="0.3">
      <c r="A5" s="6">
        <v>45826</v>
      </c>
      <c r="B5">
        <v>567.6</v>
      </c>
    </row>
    <row r="6" spans="1:2" x14ac:dyDescent="0.3">
      <c r="A6" s="6">
        <v>45833</v>
      </c>
      <c r="B6">
        <v>1900.23</v>
      </c>
    </row>
    <row r="7" spans="1:2" x14ac:dyDescent="0.3">
      <c r="A7" s="6" t="s">
        <v>21</v>
      </c>
      <c r="B7">
        <v>3157.75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D751-15F2-4C93-AAA6-82CE1DC6182A}">
  <dimension ref="A3:B7"/>
  <sheetViews>
    <sheetView workbookViewId="0">
      <selection activeCell="A3" sqref="A3"/>
    </sheetView>
  </sheetViews>
  <sheetFormatPr defaultRowHeight="14.4" x14ac:dyDescent="0.3"/>
  <cols>
    <col min="1" max="1" width="12.5546875" bestFit="1" customWidth="1"/>
    <col min="2" max="2" width="15.88671875" bestFit="1" customWidth="1"/>
  </cols>
  <sheetData>
    <row r="3" spans="1:2" x14ac:dyDescent="0.3">
      <c r="A3" s="2" t="s">
        <v>22</v>
      </c>
      <c r="B3" t="s">
        <v>25</v>
      </c>
    </row>
    <row r="4" spans="1:2" x14ac:dyDescent="0.3">
      <c r="A4" s="3" t="s">
        <v>11</v>
      </c>
      <c r="B4">
        <v>1900.23</v>
      </c>
    </row>
    <row r="5" spans="1:2" x14ac:dyDescent="0.3">
      <c r="A5" s="3" t="s">
        <v>14</v>
      </c>
      <c r="B5">
        <v>567.6</v>
      </c>
    </row>
    <row r="6" spans="1:2" x14ac:dyDescent="0.3">
      <c r="A6" s="3" t="s">
        <v>9</v>
      </c>
      <c r="B6">
        <v>689.92</v>
      </c>
    </row>
    <row r="7" spans="1:2" x14ac:dyDescent="0.3">
      <c r="A7" s="3" t="s">
        <v>21</v>
      </c>
      <c r="B7">
        <v>3157.75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68C4-4BB1-4318-ADD1-AA5E9E72E333}">
  <dimension ref="A1:G31"/>
  <sheetViews>
    <sheetView workbookViewId="0">
      <selection sqref="A1:G31"/>
    </sheetView>
  </sheetViews>
  <sheetFormatPr defaultRowHeight="14.4" x14ac:dyDescent="0.3"/>
  <cols>
    <col min="2" max="2" width="15.109375" customWidth="1"/>
    <col min="3" max="3" width="19.33203125" customWidth="1"/>
    <col min="7" max="7" width="10.44140625" bestFit="1" customWidth="1"/>
  </cols>
  <sheetData>
    <row r="1" spans="1:7" x14ac:dyDescent="0.3">
      <c r="A1" s="5" t="s">
        <v>0</v>
      </c>
      <c r="B1" s="5" t="s">
        <v>1</v>
      </c>
      <c r="C1" s="5" t="s">
        <v>2</v>
      </c>
      <c r="D1" s="4" t="s">
        <v>3</v>
      </c>
      <c r="E1" s="4" t="s">
        <v>4</v>
      </c>
      <c r="F1" s="4" t="s">
        <v>5</v>
      </c>
      <c r="G1" s="4" t="s">
        <v>6</v>
      </c>
    </row>
    <row r="2" spans="1:7" x14ac:dyDescent="0.3">
      <c r="A2" t="s">
        <v>7</v>
      </c>
      <c r="B2" t="s">
        <v>8</v>
      </c>
      <c r="C2" t="s">
        <v>9</v>
      </c>
      <c r="D2">
        <v>45</v>
      </c>
      <c r="E2">
        <v>16.02</v>
      </c>
      <c r="F2">
        <v>720.9</v>
      </c>
      <c r="G2" s="1">
        <v>45813</v>
      </c>
    </row>
    <row r="3" spans="1:7" x14ac:dyDescent="0.3">
      <c r="A3" t="s">
        <v>7</v>
      </c>
      <c r="B3" t="s">
        <v>10</v>
      </c>
      <c r="C3" t="s">
        <v>11</v>
      </c>
      <c r="D3">
        <v>85</v>
      </c>
      <c r="E3">
        <v>23.99</v>
      </c>
      <c r="F3">
        <v>2039.15</v>
      </c>
      <c r="G3" s="1">
        <v>45809</v>
      </c>
    </row>
    <row r="4" spans="1:7" x14ac:dyDescent="0.3">
      <c r="A4" t="s">
        <v>7</v>
      </c>
      <c r="B4" t="s">
        <v>12</v>
      </c>
      <c r="C4" t="s">
        <v>11</v>
      </c>
      <c r="D4">
        <v>74</v>
      </c>
      <c r="E4">
        <v>32.090000000000003</v>
      </c>
      <c r="F4">
        <v>2374.66</v>
      </c>
      <c r="G4" s="1">
        <v>45826</v>
      </c>
    </row>
    <row r="5" spans="1:7" x14ac:dyDescent="0.3">
      <c r="A5" t="s">
        <v>13</v>
      </c>
      <c r="B5" t="s">
        <v>10</v>
      </c>
      <c r="C5" t="s">
        <v>14</v>
      </c>
      <c r="D5">
        <v>38</v>
      </c>
      <c r="E5">
        <v>25.21</v>
      </c>
      <c r="F5">
        <v>957.98</v>
      </c>
      <c r="G5" s="1">
        <v>45817</v>
      </c>
    </row>
    <row r="6" spans="1:7" x14ac:dyDescent="0.3">
      <c r="A6" t="s">
        <v>7</v>
      </c>
      <c r="B6" t="s">
        <v>12</v>
      </c>
      <c r="C6" t="s">
        <v>9</v>
      </c>
      <c r="D6">
        <v>64</v>
      </c>
      <c r="E6">
        <v>20.309999999999999</v>
      </c>
      <c r="F6">
        <v>1299.8399999999999</v>
      </c>
      <c r="G6" s="1">
        <v>45813</v>
      </c>
    </row>
    <row r="7" spans="1:7" x14ac:dyDescent="0.3">
      <c r="A7" t="s">
        <v>13</v>
      </c>
      <c r="B7" t="s">
        <v>15</v>
      </c>
      <c r="C7" t="s">
        <v>11</v>
      </c>
      <c r="D7">
        <v>21</v>
      </c>
      <c r="E7">
        <v>22.1</v>
      </c>
      <c r="F7">
        <v>464.1</v>
      </c>
      <c r="G7" s="1">
        <v>45820</v>
      </c>
    </row>
    <row r="8" spans="1:7" x14ac:dyDescent="0.3">
      <c r="A8" t="s">
        <v>16</v>
      </c>
      <c r="B8" t="s">
        <v>10</v>
      </c>
      <c r="C8" t="s">
        <v>14</v>
      </c>
      <c r="D8">
        <v>15</v>
      </c>
      <c r="E8">
        <v>37.840000000000003</v>
      </c>
      <c r="F8">
        <v>567.6</v>
      </c>
      <c r="G8" s="1">
        <v>45826</v>
      </c>
    </row>
    <row r="9" spans="1:7" x14ac:dyDescent="0.3">
      <c r="A9" t="s">
        <v>7</v>
      </c>
      <c r="B9" t="s">
        <v>17</v>
      </c>
      <c r="C9" t="s">
        <v>11</v>
      </c>
      <c r="D9">
        <v>80</v>
      </c>
      <c r="E9">
        <v>18.190000000000001</v>
      </c>
      <c r="F9">
        <v>1455.2</v>
      </c>
      <c r="G9" s="1">
        <v>45829</v>
      </c>
    </row>
    <row r="10" spans="1:7" x14ac:dyDescent="0.3">
      <c r="A10" t="s">
        <v>18</v>
      </c>
      <c r="B10" t="s">
        <v>15</v>
      </c>
      <c r="C10" t="s">
        <v>9</v>
      </c>
      <c r="D10">
        <v>34</v>
      </c>
      <c r="E10">
        <v>36.71</v>
      </c>
      <c r="F10">
        <v>1248.1400000000001</v>
      </c>
      <c r="G10" s="1">
        <v>45810</v>
      </c>
    </row>
    <row r="11" spans="1:7" x14ac:dyDescent="0.3">
      <c r="A11" t="s">
        <v>13</v>
      </c>
      <c r="B11" t="s">
        <v>15</v>
      </c>
      <c r="C11" t="s">
        <v>11</v>
      </c>
      <c r="D11">
        <v>39</v>
      </c>
      <c r="E11">
        <v>43.99</v>
      </c>
      <c r="F11">
        <v>1715.61</v>
      </c>
      <c r="G11" s="1">
        <v>45821</v>
      </c>
    </row>
    <row r="12" spans="1:7" x14ac:dyDescent="0.3">
      <c r="A12" t="s">
        <v>16</v>
      </c>
      <c r="B12" t="s">
        <v>17</v>
      </c>
      <c r="C12" t="s">
        <v>9</v>
      </c>
      <c r="D12">
        <v>56</v>
      </c>
      <c r="E12">
        <v>12.32</v>
      </c>
      <c r="F12">
        <v>689.92</v>
      </c>
      <c r="G12" s="1">
        <v>45820</v>
      </c>
    </row>
    <row r="13" spans="1:7" x14ac:dyDescent="0.3">
      <c r="A13" t="s">
        <v>13</v>
      </c>
      <c r="B13" t="s">
        <v>15</v>
      </c>
      <c r="C13" t="s">
        <v>9</v>
      </c>
      <c r="D13">
        <v>97</v>
      </c>
      <c r="E13">
        <v>34.159999999999997</v>
      </c>
      <c r="F13">
        <v>3313.52</v>
      </c>
      <c r="G13" s="1">
        <v>45828</v>
      </c>
    </row>
    <row r="14" spans="1:7" x14ac:dyDescent="0.3">
      <c r="A14" t="s">
        <v>13</v>
      </c>
      <c r="B14" t="s">
        <v>10</v>
      </c>
      <c r="C14" t="s">
        <v>9</v>
      </c>
      <c r="D14">
        <v>41</v>
      </c>
      <c r="E14">
        <v>12.35</v>
      </c>
      <c r="F14">
        <v>506.35</v>
      </c>
      <c r="G14" s="1">
        <v>45821</v>
      </c>
    </row>
    <row r="15" spans="1:7" x14ac:dyDescent="0.3">
      <c r="A15" t="s">
        <v>16</v>
      </c>
      <c r="B15" t="s">
        <v>10</v>
      </c>
      <c r="C15" t="s">
        <v>11</v>
      </c>
      <c r="D15">
        <v>97</v>
      </c>
      <c r="E15">
        <v>19.59</v>
      </c>
      <c r="F15">
        <v>1900.23</v>
      </c>
      <c r="G15" s="1">
        <v>45833</v>
      </c>
    </row>
    <row r="16" spans="1:7" x14ac:dyDescent="0.3">
      <c r="A16" t="s">
        <v>7</v>
      </c>
      <c r="B16" t="s">
        <v>12</v>
      </c>
      <c r="C16" t="s">
        <v>11</v>
      </c>
      <c r="D16">
        <v>50</v>
      </c>
      <c r="E16">
        <v>23.05</v>
      </c>
      <c r="F16">
        <v>1152.5</v>
      </c>
      <c r="G16" s="1">
        <v>45811</v>
      </c>
    </row>
    <row r="17" spans="1:7" x14ac:dyDescent="0.3">
      <c r="A17" t="s">
        <v>13</v>
      </c>
      <c r="B17" t="s">
        <v>10</v>
      </c>
      <c r="C17" t="s">
        <v>9</v>
      </c>
      <c r="D17">
        <v>50</v>
      </c>
      <c r="E17">
        <v>14.57</v>
      </c>
      <c r="F17">
        <v>728.5</v>
      </c>
      <c r="G17" s="1">
        <v>45824</v>
      </c>
    </row>
    <row r="18" spans="1:7" x14ac:dyDescent="0.3">
      <c r="A18" t="s">
        <v>19</v>
      </c>
      <c r="B18" t="s">
        <v>17</v>
      </c>
      <c r="C18" t="s">
        <v>11</v>
      </c>
      <c r="D18">
        <v>43</v>
      </c>
      <c r="E18">
        <v>11.28</v>
      </c>
      <c r="F18">
        <v>485.04</v>
      </c>
      <c r="G18" s="1">
        <v>45832</v>
      </c>
    </row>
    <row r="19" spans="1:7" x14ac:dyDescent="0.3">
      <c r="A19" t="s">
        <v>18</v>
      </c>
      <c r="B19" t="s">
        <v>10</v>
      </c>
      <c r="C19" t="s">
        <v>14</v>
      </c>
      <c r="D19">
        <v>84</v>
      </c>
      <c r="E19">
        <v>24.28</v>
      </c>
      <c r="F19">
        <v>2039.52</v>
      </c>
      <c r="G19" s="1">
        <v>45827</v>
      </c>
    </row>
    <row r="20" spans="1:7" x14ac:dyDescent="0.3">
      <c r="A20" t="s">
        <v>19</v>
      </c>
      <c r="B20" t="s">
        <v>15</v>
      </c>
      <c r="C20" t="s">
        <v>11</v>
      </c>
      <c r="D20">
        <v>27</v>
      </c>
      <c r="E20">
        <v>27.93</v>
      </c>
      <c r="F20">
        <v>754.11</v>
      </c>
      <c r="G20" s="1">
        <v>45811</v>
      </c>
    </row>
    <row r="21" spans="1:7" x14ac:dyDescent="0.3">
      <c r="A21" t="s">
        <v>7</v>
      </c>
      <c r="B21" t="s">
        <v>8</v>
      </c>
      <c r="C21" t="s">
        <v>11</v>
      </c>
      <c r="D21">
        <v>90</v>
      </c>
      <c r="E21">
        <v>12.2</v>
      </c>
      <c r="F21">
        <v>1098</v>
      </c>
      <c r="G21" s="1">
        <v>45830</v>
      </c>
    </row>
    <row r="22" spans="1:7" x14ac:dyDescent="0.3">
      <c r="A22" t="s">
        <v>19</v>
      </c>
      <c r="B22" t="s">
        <v>10</v>
      </c>
      <c r="C22" t="s">
        <v>11</v>
      </c>
      <c r="D22">
        <v>59</v>
      </c>
      <c r="E22">
        <v>22.17</v>
      </c>
      <c r="F22">
        <v>1308.03</v>
      </c>
      <c r="G22" s="1">
        <v>45823</v>
      </c>
    </row>
    <row r="23" spans="1:7" x14ac:dyDescent="0.3">
      <c r="A23" t="s">
        <v>18</v>
      </c>
      <c r="B23" t="s">
        <v>15</v>
      </c>
      <c r="C23" t="s">
        <v>9</v>
      </c>
      <c r="D23">
        <v>11</v>
      </c>
      <c r="E23">
        <v>35.61</v>
      </c>
      <c r="F23">
        <v>391.71</v>
      </c>
      <c r="G23" s="1">
        <v>45812</v>
      </c>
    </row>
    <row r="24" spans="1:7" x14ac:dyDescent="0.3">
      <c r="A24" t="s">
        <v>18</v>
      </c>
      <c r="B24" t="s">
        <v>15</v>
      </c>
      <c r="C24" t="s">
        <v>9</v>
      </c>
      <c r="D24">
        <v>53</v>
      </c>
      <c r="E24">
        <v>10.02</v>
      </c>
      <c r="F24">
        <v>531.05999999999995</v>
      </c>
      <c r="G24" s="1">
        <v>45822</v>
      </c>
    </row>
    <row r="25" spans="1:7" x14ac:dyDescent="0.3">
      <c r="A25" t="s">
        <v>13</v>
      </c>
      <c r="B25" t="s">
        <v>17</v>
      </c>
      <c r="C25" t="s">
        <v>11</v>
      </c>
      <c r="D25">
        <v>43</v>
      </c>
      <c r="E25">
        <v>48.73</v>
      </c>
      <c r="F25">
        <v>2095.39</v>
      </c>
      <c r="G25" s="1">
        <v>45833</v>
      </c>
    </row>
    <row r="26" spans="1:7" x14ac:dyDescent="0.3">
      <c r="A26" t="s">
        <v>13</v>
      </c>
      <c r="B26" t="s">
        <v>10</v>
      </c>
      <c r="C26" t="s">
        <v>11</v>
      </c>
      <c r="D26">
        <v>90</v>
      </c>
      <c r="E26">
        <v>18.43</v>
      </c>
      <c r="F26">
        <v>1658.7</v>
      </c>
      <c r="G26" s="1">
        <v>45829</v>
      </c>
    </row>
    <row r="27" spans="1:7" x14ac:dyDescent="0.3">
      <c r="A27" t="s">
        <v>18</v>
      </c>
      <c r="B27" t="s">
        <v>10</v>
      </c>
      <c r="C27" t="s">
        <v>11</v>
      </c>
      <c r="D27">
        <v>29</v>
      </c>
      <c r="E27">
        <v>21.83</v>
      </c>
      <c r="F27">
        <v>633.07000000000005</v>
      </c>
      <c r="G27" s="1">
        <v>45814</v>
      </c>
    </row>
    <row r="28" spans="1:7" x14ac:dyDescent="0.3">
      <c r="A28" t="s">
        <v>18</v>
      </c>
      <c r="B28" t="s">
        <v>10</v>
      </c>
      <c r="C28" t="s">
        <v>11</v>
      </c>
      <c r="D28">
        <v>86</v>
      </c>
      <c r="E28">
        <v>19.59</v>
      </c>
      <c r="F28">
        <v>1684.74</v>
      </c>
      <c r="G28" s="1">
        <v>45809</v>
      </c>
    </row>
    <row r="29" spans="1:7" x14ac:dyDescent="0.3">
      <c r="A29" t="s">
        <v>7</v>
      </c>
      <c r="B29" t="s">
        <v>15</v>
      </c>
      <c r="C29" t="s">
        <v>14</v>
      </c>
      <c r="D29">
        <v>40</v>
      </c>
      <c r="E29">
        <v>7.61</v>
      </c>
      <c r="F29">
        <v>304.39999999999998</v>
      </c>
      <c r="G29" s="1">
        <v>45837</v>
      </c>
    </row>
    <row r="30" spans="1:7" x14ac:dyDescent="0.3">
      <c r="A30" t="s">
        <v>18</v>
      </c>
      <c r="B30" t="s">
        <v>8</v>
      </c>
      <c r="C30" t="s">
        <v>11</v>
      </c>
      <c r="D30">
        <v>72</v>
      </c>
      <c r="E30">
        <v>41.72</v>
      </c>
      <c r="F30">
        <v>3003.84</v>
      </c>
      <c r="G30" s="1">
        <v>45833</v>
      </c>
    </row>
    <row r="31" spans="1:7" x14ac:dyDescent="0.3">
      <c r="A31" t="s">
        <v>18</v>
      </c>
      <c r="B31" t="s">
        <v>12</v>
      </c>
      <c r="C31" t="s">
        <v>11</v>
      </c>
      <c r="D31">
        <v>94</v>
      </c>
      <c r="E31">
        <v>26.39</v>
      </c>
      <c r="F31">
        <v>2480.66</v>
      </c>
      <c r="G31" s="1">
        <v>45826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6B268-F7C2-4141-BBAD-D72B722CCC71}">
  <dimension ref="A1:C7"/>
  <sheetViews>
    <sheetView zoomScale="66" zoomScaleNormal="66" workbookViewId="0">
      <selection activeCell="AA14" sqref="AA14"/>
    </sheetView>
  </sheetViews>
  <sheetFormatPr defaultRowHeight="14.4" x14ac:dyDescent="0.3"/>
  <cols>
    <col min="1" max="1" width="20.33203125" bestFit="1" customWidth="1"/>
    <col min="2" max="2" width="19.77734375" bestFit="1" customWidth="1"/>
    <col min="3" max="3" width="20.77734375" bestFit="1" customWidth="1"/>
    <col min="4" max="4" width="14.88671875" bestFit="1" customWidth="1"/>
    <col min="5" max="5" width="15.88671875" bestFit="1" customWidth="1"/>
    <col min="6" max="6" width="14.88671875" bestFit="1" customWidth="1"/>
    <col min="7" max="7" width="15.88671875" bestFit="1" customWidth="1"/>
    <col min="8" max="8" width="14.88671875" bestFit="1" customWidth="1"/>
    <col min="9" max="9" width="15.88671875" bestFit="1" customWidth="1"/>
    <col min="10" max="10" width="14.88671875" bestFit="1" customWidth="1"/>
    <col min="11" max="11" width="15.88671875" bestFit="1" customWidth="1"/>
    <col min="12" max="12" width="19.77734375" bestFit="1" customWidth="1"/>
    <col min="13" max="13" width="20.77734375" bestFit="1" customWidth="1"/>
  </cols>
  <sheetData>
    <row r="1" spans="1:3" x14ac:dyDescent="0.3">
      <c r="A1" s="2" t="s">
        <v>2</v>
      </c>
      <c r="B1" t="s">
        <v>11</v>
      </c>
    </row>
    <row r="2" spans="1:3" x14ac:dyDescent="0.3">
      <c r="A2" s="2" t="s">
        <v>6</v>
      </c>
      <c r="B2" s="6">
        <v>45823</v>
      </c>
    </row>
    <row r="4" spans="1:3" x14ac:dyDescent="0.3">
      <c r="B4" s="2" t="s">
        <v>20</v>
      </c>
    </row>
    <row r="5" spans="1:3" x14ac:dyDescent="0.3">
      <c r="B5" t="s">
        <v>23</v>
      </c>
      <c r="C5" t="s">
        <v>24</v>
      </c>
    </row>
    <row r="6" spans="1:3" x14ac:dyDescent="0.3">
      <c r="A6" s="2" t="s">
        <v>22</v>
      </c>
    </row>
    <row r="7" spans="1:3" x14ac:dyDescent="0.3">
      <c r="A7" s="3"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B2A5-1A9C-4D62-877F-AD1794AF2B1B}">
  <dimension ref="A1"/>
  <sheetViews>
    <sheetView tabSelected="1" zoomScale="68" zoomScaleNormal="68" workbookViewId="0">
      <selection activeCell="AA6" sqref="AA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Cost By Product</vt:lpstr>
      <vt:lpstr>Total Cost By supplier Pivot </vt:lpstr>
      <vt:lpstr>Total Cost By Delivery Date Pvt</vt:lpstr>
      <vt:lpstr>Total Cost By Warehouse Pivot</vt: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P</dc:creator>
  <cp:lastModifiedBy>Sandhya Saravanan</cp:lastModifiedBy>
  <dcterms:created xsi:type="dcterms:W3CDTF">2025-12-09T11:52:41Z</dcterms:created>
  <dcterms:modified xsi:type="dcterms:W3CDTF">2025-12-13T16:45:33Z</dcterms:modified>
</cp:coreProperties>
</file>